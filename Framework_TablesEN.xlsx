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ev\Desktop\Nuevos índices AI\"/>
    </mc:Choice>
  </mc:AlternateContent>
  <xr:revisionPtr revIDLastSave="0" documentId="13_ncr:1_{B9792FFC-4CAF-4DA7-8CBB-5A3A34F2A40C}" xr6:coauthVersionLast="47" xr6:coauthVersionMax="47" xr10:uidLastSave="{00000000-0000-0000-0000-000000000000}"/>
  <bookViews>
    <workbookView xWindow="-108" yWindow="-108" windowWidth="23256" windowHeight="12456" xr2:uid="{1D34F24E-5181-4FBC-9F3C-E4F2C3078309}"/>
  </bookViews>
  <sheets>
    <sheet name="Tables" sheetId="1" r:id="rId1"/>
    <sheet name="TOPSIS" sheetId="3" r:id="rId2"/>
    <sheet name="z2(Rev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2" i="1" l="1"/>
  <c r="I14" i="1" s="1"/>
  <c r="E43" i="1"/>
  <c r="I15" i="1" s="1"/>
  <c r="D43" i="1"/>
  <c r="D42" i="1"/>
  <c r="H11" i="1" s="1"/>
  <c r="B42" i="2"/>
  <c r="B41" i="2"/>
  <c r="C11" i="2" s="1"/>
  <c r="B43" i="1"/>
  <c r="F18" i="1" s="1"/>
  <c r="B42" i="1"/>
  <c r="F35" i="1" s="1"/>
  <c r="F26" i="1" l="1"/>
  <c r="I29" i="1"/>
  <c r="F38" i="1"/>
  <c r="F16" i="1"/>
  <c r="I28" i="1"/>
  <c r="I13" i="1"/>
  <c r="I12" i="1"/>
  <c r="E10" i="3" s="1"/>
  <c r="H12" i="1"/>
  <c r="D10" i="3" s="1"/>
  <c r="H26" i="1"/>
  <c r="H8" i="1"/>
  <c r="I27" i="1"/>
  <c r="E25" i="3" s="1"/>
  <c r="I11" i="1"/>
  <c r="H10" i="1"/>
  <c r="F25" i="1"/>
  <c r="B23" i="3" s="1"/>
  <c r="H25" i="1"/>
  <c r="D23" i="3" s="1"/>
  <c r="I7" i="1"/>
  <c r="E5" i="3" s="1"/>
  <c r="I25" i="1"/>
  <c r="I9" i="1"/>
  <c r="F15" i="1"/>
  <c r="B13" i="3" s="1"/>
  <c r="H9" i="1"/>
  <c r="F24" i="1"/>
  <c r="F6" i="1"/>
  <c r="B4" i="3" s="1"/>
  <c r="F7" i="1"/>
  <c r="F32" i="1"/>
  <c r="B30" i="3" s="1"/>
  <c r="F22" i="1"/>
  <c r="F10" i="1"/>
  <c r="H6" i="1"/>
  <c r="H24" i="1"/>
  <c r="I37" i="1"/>
  <c r="I21" i="1"/>
  <c r="E19" i="3" s="1"/>
  <c r="F34" i="1"/>
  <c r="B32" i="3" s="1"/>
  <c r="F33" i="1"/>
  <c r="F8" i="1"/>
  <c r="F31" i="1"/>
  <c r="F19" i="1"/>
  <c r="F9" i="1"/>
  <c r="H7" i="1"/>
  <c r="H18" i="1"/>
  <c r="D16" i="3" s="1"/>
  <c r="I36" i="1"/>
  <c r="E34" i="3" s="1"/>
  <c r="I20" i="1"/>
  <c r="E18" i="3" s="1"/>
  <c r="H33" i="1"/>
  <c r="F14" i="1"/>
  <c r="F11" i="1"/>
  <c r="B9" i="3" s="1"/>
  <c r="F40" i="1"/>
  <c r="B38" i="3" s="1"/>
  <c r="F30" i="1"/>
  <c r="H40" i="1"/>
  <c r="D38" i="3" s="1"/>
  <c r="H17" i="1"/>
  <c r="D15" i="3" s="1"/>
  <c r="I35" i="1"/>
  <c r="E33" i="3" s="1"/>
  <c r="I19" i="1"/>
  <c r="H32" i="1"/>
  <c r="F12" i="1"/>
  <c r="B10" i="3" s="1"/>
  <c r="F23" i="1"/>
  <c r="F39" i="1"/>
  <c r="F27" i="1"/>
  <c r="B25" i="3" s="1"/>
  <c r="F17" i="1"/>
  <c r="B15" i="3" s="1"/>
  <c r="H34" i="1"/>
  <c r="D32" i="3" s="1"/>
  <c r="H16" i="1"/>
  <c r="I33" i="1"/>
  <c r="I17" i="1"/>
  <c r="E15" i="3" s="1"/>
  <c r="H39" i="1"/>
  <c r="H31" i="1"/>
  <c r="H23" i="1"/>
  <c r="D21" i="3" s="1"/>
  <c r="H15" i="1"/>
  <c r="D13" i="3" s="1"/>
  <c r="I6" i="1"/>
  <c r="E4" i="3" s="1"/>
  <c r="I34" i="1"/>
  <c r="I26" i="1"/>
  <c r="I18" i="1"/>
  <c r="E16" i="3" s="1"/>
  <c r="I10" i="1"/>
  <c r="E8" i="3" s="1"/>
  <c r="H38" i="1"/>
  <c r="H30" i="1"/>
  <c r="D28" i="3" s="1"/>
  <c r="F37" i="1"/>
  <c r="B35" i="3" s="1"/>
  <c r="F29" i="1"/>
  <c r="B27" i="3" s="1"/>
  <c r="F21" i="1"/>
  <c r="F13" i="1"/>
  <c r="B11" i="3" s="1"/>
  <c r="H37" i="1"/>
  <c r="D35" i="3" s="1"/>
  <c r="H29" i="1"/>
  <c r="D27" i="3" s="1"/>
  <c r="H21" i="1"/>
  <c r="H13" i="1"/>
  <c r="D11" i="3" s="1"/>
  <c r="I40" i="1"/>
  <c r="E38" i="3" s="1"/>
  <c r="I32" i="1"/>
  <c r="E30" i="3" s="1"/>
  <c r="I24" i="1"/>
  <c r="I16" i="1"/>
  <c r="E14" i="3" s="1"/>
  <c r="I8" i="1"/>
  <c r="E6" i="3" s="1"/>
  <c r="H22" i="1"/>
  <c r="D20" i="3" s="1"/>
  <c r="H14" i="1"/>
  <c r="F36" i="1"/>
  <c r="B34" i="3" s="1"/>
  <c r="F28" i="1"/>
  <c r="B26" i="3" s="1"/>
  <c r="F20" i="1"/>
  <c r="B18" i="3" s="1"/>
  <c r="H36" i="1"/>
  <c r="H28" i="1"/>
  <c r="H20" i="1"/>
  <c r="D18" i="3" s="1"/>
  <c r="I39" i="1"/>
  <c r="E37" i="3" s="1"/>
  <c r="I31" i="1"/>
  <c r="I23" i="1"/>
  <c r="E21" i="3" s="1"/>
  <c r="H35" i="1"/>
  <c r="D33" i="3" s="1"/>
  <c r="H27" i="1"/>
  <c r="D25" i="3" s="1"/>
  <c r="H19" i="1"/>
  <c r="I38" i="1"/>
  <c r="E36" i="3" s="1"/>
  <c r="I30" i="1"/>
  <c r="E28" i="3" s="1"/>
  <c r="I22" i="1"/>
  <c r="E20" i="3" s="1"/>
  <c r="C34" i="2"/>
  <c r="C10" i="2"/>
  <c r="C25" i="2"/>
  <c r="C24" i="2"/>
  <c r="C8" i="2"/>
  <c r="C31" i="2"/>
  <c r="C15" i="2"/>
  <c r="C38" i="2"/>
  <c r="C30" i="2"/>
  <c r="C22" i="2"/>
  <c r="C14" i="2"/>
  <c r="C6" i="2"/>
  <c r="C18" i="2"/>
  <c r="C17" i="2"/>
  <c r="C5" i="2"/>
  <c r="C39" i="2"/>
  <c r="C37" i="2"/>
  <c r="C29" i="2"/>
  <c r="C21" i="2"/>
  <c r="C13" i="2"/>
  <c r="C26" i="2"/>
  <c r="C9" i="2"/>
  <c r="C32" i="2"/>
  <c r="C23" i="2"/>
  <c r="C7" i="2"/>
  <c r="C36" i="2"/>
  <c r="C28" i="2"/>
  <c r="C20" i="2"/>
  <c r="C12" i="2"/>
  <c r="C33" i="2"/>
  <c r="C16" i="2"/>
  <c r="C35" i="2"/>
  <c r="C27" i="2"/>
  <c r="C19" i="2"/>
  <c r="B5" i="3"/>
  <c r="D5" i="3"/>
  <c r="B6" i="3"/>
  <c r="D6" i="3"/>
  <c r="B7" i="3"/>
  <c r="D7" i="3"/>
  <c r="E7" i="3"/>
  <c r="B8" i="3"/>
  <c r="D8" i="3"/>
  <c r="D9" i="3"/>
  <c r="E9" i="3"/>
  <c r="E11" i="3"/>
  <c r="B12" i="3"/>
  <c r="D12" i="3"/>
  <c r="E12" i="3"/>
  <c r="E13" i="3"/>
  <c r="B14" i="3"/>
  <c r="D14" i="3"/>
  <c r="B16" i="3"/>
  <c r="B17" i="3"/>
  <c r="D17" i="3"/>
  <c r="E17" i="3"/>
  <c r="B19" i="3"/>
  <c r="D19" i="3"/>
  <c r="B20" i="3"/>
  <c r="B21" i="3"/>
  <c r="B22" i="3"/>
  <c r="D22" i="3"/>
  <c r="E22" i="3"/>
  <c r="E23" i="3"/>
  <c r="B24" i="3"/>
  <c r="D24" i="3"/>
  <c r="E24" i="3"/>
  <c r="D26" i="3"/>
  <c r="E26" i="3"/>
  <c r="E27" i="3"/>
  <c r="B28" i="3"/>
  <c r="B29" i="3"/>
  <c r="D29" i="3"/>
  <c r="E29" i="3"/>
  <c r="D30" i="3"/>
  <c r="B31" i="3"/>
  <c r="D31" i="3"/>
  <c r="E31" i="3"/>
  <c r="E32" i="3"/>
  <c r="B33" i="3"/>
  <c r="D34" i="3"/>
  <c r="E35" i="3"/>
  <c r="B36" i="3"/>
  <c r="D36" i="3"/>
  <c r="B37" i="3"/>
  <c r="D37" i="3"/>
  <c r="D4" i="3"/>
  <c r="E41" i="3" l="1"/>
  <c r="D31" i="2"/>
  <c r="G32" i="1" s="1"/>
  <c r="D12" i="2"/>
  <c r="G13" i="1" s="1"/>
  <c r="D26" i="2"/>
  <c r="G27" i="1" s="1"/>
  <c r="D18" i="2"/>
  <c r="G19" i="1" s="1"/>
  <c r="C42" i="2"/>
  <c r="C41" i="2"/>
  <c r="D19" i="2" s="1"/>
  <c r="G20" i="1" s="1"/>
  <c r="D20" i="2"/>
  <c r="G21" i="1" s="1"/>
  <c r="D13" i="2"/>
  <c r="G14" i="1" s="1"/>
  <c r="D6" i="2"/>
  <c r="G7" i="1" s="1"/>
  <c r="D24" i="2"/>
  <c r="G25" i="1" s="1"/>
  <c r="D36" i="2"/>
  <c r="G37" i="1" s="1"/>
  <c r="D29" i="2"/>
  <c r="G30" i="1" s="1"/>
  <c r="D22" i="2"/>
  <c r="G23" i="1" s="1"/>
  <c r="D10" i="2"/>
  <c r="G11" i="1" s="1"/>
  <c r="D37" i="2"/>
  <c r="G38" i="1" s="1"/>
  <c r="D30" i="2"/>
  <c r="G31" i="1" s="1"/>
  <c r="D34" i="2"/>
  <c r="G35" i="1" s="1"/>
  <c r="D14" i="2"/>
  <c r="G15" i="1" s="1"/>
  <c r="D39" i="2"/>
  <c r="G40" i="1" s="1"/>
  <c r="D41" i="3"/>
  <c r="B41" i="3"/>
  <c r="E40" i="3"/>
  <c r="D40" i="3"/>
  <c r="B40" i="3"/>
  <c r="L20" i="1" l="1"/>
  <c r="C18" i="3"/>
  <c r="K20" i="1"/>
  <c r="N20" i="1"/>
  <c r="L11" i="1"/>
  <c r="K11" i="1"/>
  <c r="N11" i="1"/>
  <c r="O11" i="1" s="1"/>
  <c r="B57" i="1" s="1"/>
  <c r="C9" i="3"/>
  <c r="C29" i="3"/>
  <c r="N31" i="1"/>
  <c r="O31" i="1" s="1"/>
  <c r="L31" i="1"/>
  <c r="K31" i="1"/>
  <c r="C13" i="3"/>
  <c r="N15" i="1"/>
  <c r="R15" i="1" s="1"/>
  <c r="L15" i="1"/>
  <c r="K15" i="1"/>
  <c r="C5" i="3"/>
  <c r="N7" i="1"/>
  <c r="Q7" i="1" s="1"/>
  <c r="L7" i="1"/>
  <c r="K7" i="1"/>
  <c r="N14" i="1"/>
  <c r="P14" i="1" s="1"/>
  <c r="C12" i="3"/>
  <c r="L14" i="1"/>
  <c r="K14" i="1"/>
  <c r="N37" i="1"/>
  <c r="Q37" i="1" s="1"/>
  <c r="L37" i="1"/>
  <c r="C35" i="3"/>
  <c r="K37" i="1"/>
  <c r="N21" i="1"/>
  <c r="R21" i="1" s="1"/>
  <c r="L21" i="1"/>
  <c r="C19" i="3"/>
  <c r="K21" i="1"/>
  <c r="L35" i="1"/>
  <c r="K35" i="1"/>
  <c r="N35" i="1"/>
  <c r="P35" i="1" s="1"/>
  <c r="C33" i="3"/>
  <c r="L27" i="1"/>
  <c r="C25" i="3"/>
  <c r="K27" i="1"/>
  <c r="N27" i="1"/>
  <c r="Q27" i="1" s="1"/>
  <c r="N30" i="1"/>
  <c r="O30" i="1" s="1"/>
  <c r="L30" i="1"/>
  <c r="C28" i="3"/>
  <c r="K30" i="1"/>
  <c r="L38" i="1"/>
  <c r="N38" i="1"/>
  <c r="R38" i="1" s="1"/>
  <c r="C36" i="3"/>
  <c r="K38" i="1"/>
  <c r="C38" i="3"/>
  <c r="N40" i="1"/>
  <c r="R40" i="1" s="1"/>
  <c r="L40" i="1"/>
  <c r="K40" i="1"/>
  <c r="K25" i="1"/>
  <c r="C23" i="3"/>
  <c r="N25" i="1"/>
  <c r="P25" i="1" s="1"/>
  <c r="L25" i="1"/>
  <c r="N23" i="1"/>
  <c r="O23" i="1" s="1"/>
  <c r="L23" i="1"/>
  <c r="K23" i="1"/>
  <c r="C21" i="3"/>
  <c r="N13" i="1"/>
  <c r="Q13" i="1" s="1"/>
  <c r="L13" i="1"/>
  <c r="K13" i="1"/>
  <c r="C11" i="3"/>
  <c r="D38" i="2"/>
  <c r="G39" i="1" s="1"/>
  <c r="D7" i="2"/>
  <c r="G8" i="1" s="1"/>
  <c r="D11" i="2"/>
  <c r="G12" i="1" s="1"/>
  <c r="D9" i="2"/>
  <c r="G10" i="1" s="1"/>
  <c r="D23" i="2"/>
  <c r="G24" i="1" s="1"/>
  <c r="D25" i="2"/>
  <c r="G26" i="1" s="1"/>
  <c r="D28" i="2"/>
  <c r="G29" i="1" s="1"/>
  <c r="D5" i="2"/>
  <c r="G6" i="1" s="1"/>
  <c r="D33" i="2"/>
  <c r="G34" i="1" s="1"/>
  <c r="L19" i="1"/>
  <c r="K19" i="1"/>
  <c r="N19" i="1"/>
  <c r="P19" i="1" s="1"/>
  <c r="C17" i="3"/>
  <c r="K32" i="1"/>
  <c r="C30" i="3"/>
  <c r="N32" i="1"/>
  <c r="O32" i="1" s="1"/>
  <c r="L32" i="1"/>
  <c r="D17" i="2"/>
  <c r="G18" i="1" s="1"/>
  <c r="D27" i="2"/>
  <c r="G28" i="1" s="1"/>
  <c r="D21" i="2"/>
  <c r="G22" i="1" s="1"/>
  <c r="D35" i="2"/>
  <c r="G36" i="1" s="1"/>
  <c r="D16" i="2"/>
  <c r="G17" i="1" s="1"/>
  <c r="D32" i="2"/>
  <c r="G33" i="1" s="1"/>
  <c r="D8" i="2"/>
  <c r="G9" i="1" s="1"/>
  <c r="D15" i="2"/>
  <c r="G16" i="1" s="1"/>
  <c r="O35" i="1"/>
  <c r="Q35" i="1"/>
  <c r="R7" i="1"/>
  <c r="P7" i="1"/>
  <c r="O7" i="1"/>
  <c r="B53" i="1" s="1"/>
  <c r="Q20" i="1"/>
  <c r="O20" i="1"/>
  <c r="P20" i="1"/>
  <c r="R20" i="1"/>
  <c r="P40" i="1"/>
  <c r="O21" i="1" l="1"/>
  <c r="B66" i="1"/>
  <c r="R35" i="1"/>
  <c r="R19" i="1"/>
  <c r="Q19" i="1"/>
  <c r="D65" i="1" s="1"/>
  <c r="O19" i="1"/>
  <c r="B65" i="1" s="1"/>
  <c r="R23" i="1"/>
  <c r="B77" i="1"/>
  <c r="R31" i="1"/>
  <c r="W31" i="1" s="1"/>
  <c r="Q40" i="1"/>
  <c r="Q14" i="1"/>
  <c r="V14" i="1" s="1"/>
  <c r="Q25" i="1"/>
  <c r="V25" i="1" s="1"/>
  <c r="Q31" i="1"/>
  <c r="V31" i="1" s="1"/>
  <c r="P21" i="1"/>
  <c r="C67" i="1" s="1"/>
  <c r="O40" i="1"/>
  <c r="B86" i="1" s="1"/>
  <c r="O14" i="1"/>
  <c r="B60" i="1" s="1"/>
  <c r="O25" i="1"/>
  <c r="B71" i="1" s="1"/>
  <c r="P31" i="1"/>
  <c r="O38" i="1"/>
  <c r="B84" i="1" s="1"/>
  <c r="R25" i="1"/>
  <c r="W25" i="1" s="1"/>
  <c r="Q21" i="1"/>
  <c r="V21" i="1" s="1"/>
  <c r="B69" i="1"/>
  <c r="B76" i="1"/>
  <c r="B78" i="1"/>
  <c r="W38" i="1"/>
  <c r="P37" i="1"/>
  <c r="U37" i="1" s="1"/>
  <c r="V27" i="1"/>
  <c r="R37" i="1"/>
  <c r="E83" i="1" s="1"/>
  <c r="T32" i="1"/>
  <c r="T11" i="1"/>
  <c r="T21" i="1"/>
  <c r="U21" i="1"/>
  <c r="W21" i="1"/>
  <c r="W15" i="1"/>
  <c r="V13" i="1"/>
  <c r="R27" i="1"/>
  <c r="W27" i="1" s="1"/>
  <c r="U25" i="1"/>
  <c r="Q32" i="1"/>
  <c r="D78" i="1" s="1"/>
  <c r="U14" i="1"/>
  <c r="O37" i="1"/>
  <c r="B83" i="1" s="1"/>
  <c r="R11" i="1"/>
  <c r="W11" i="1" s="1"/>
  <c r="R30" i="1"/>
  <c r="P23" i="1"/>
  <c r="U23" i="1" s="1"/>
  <c r="O27" i="1"/>
  <c r="B73" i="1" s="1"/>
  <c r="Q11" i="1"/>
  <c r="V11" i="1" s="1"/>
  <c r="W40" i="1"/>
  <c r="T40" i="1"/>
  <c r="U40" i="1"/>
  <c r="V40" i="1"/>
  <c r="T30" i="1"/>
  <c r="W30" i="1"/>
  <c r="V30" i="1"/>
  <c r="V37" i="1"/>
  <c r="T37" i="1"/>
  <c r="T7" i="1"/>
  <c r="U7" i="1"/>
  <c r="V7" i="1"/>
  <c r="W7" i="1"/>
  <c r="U31" i="1"/>
  <c r="T31" i="1"/>
  <c r="B81" i="1"/>
  <c r="P32" i="1"/>
  <c r="C78" i="1" s="1"/>
  <c r="Q30" i="1"/>
  <c r="D76" i="1" s="1"/>
  <c r="Q23" i="1"/>
  <c r="D69" i="1" s="1"/>
  <c r="U19" i="1"/>
  <c r="W19" i="1"/>
  <c r="W23" i="1"/>
  <c r="T23" i="1"/>
  <c r="U20" i="1"/>
  <c r="T20" i="1"/>
  <c r="V20" i="1"/>
  <c r="W20" i="1"/>
  <c r="R32" i="1"/>
  <c r="W32" i="1" s="1"/>
  <c r="P13" i="1"/>
  <c r="C59" i="1" s="1"/>
  <c r="P30" i="1"/>
  <c r="U30" i="1" s="1"/>
  <c r="P27" i="1"/>
  <c r="U27" i="1" s="1"/>
  <c r="P11" i="1"/>
  <c r="C57" i="1" s="1"/>
  <c r="T35" i="1"/>
  <c r="U35" i="1"/>
  <c r="V35" i="1"/>
  <c r="W35" i="1"/>
  <c r="P38" i="1"/>
  <c r="U38" i="1" s="1"/>
  <c r="K9" i="1"/>
  <c r="N9" i="1"/>
  <c r="L9" i="1"/>
  <c r="C7" i="3"/>
  <c r="K6" i="1"/>
  <c r="L6" i="1"/>
  <c r="N6" i="1"/>
  <c r="C4" i="3"/>
  <c r="B67" i="1"/>
  <c r="Q38" i="1"/>
  <c r="D84" i="1" s="1"/>
  <c r="K33" i="1"/>
  <c r="C31" i="3"/>
  <c r="N33" i="1"/>
  <c r="L33" i="1"/>
  <c r="N29" i="1"/>
  <c r="L29" i="1"/>
  <c r="K29" i="1"/>
  <c r="C27" i="3"/>
  <c r="N36" i="1"/>
  <c r="L36" i="1"/>
  <c r="K36" i="1"/>
  <c r="C34" i="3"/>
  <c r="L26" i="1"/>
  <c r="K26" i="1"/>
  <c r="C24" i="3"/>
  <c r="N26" i="1"/>
  <c r="O13" i="1"/>
  <c r="B59" i="1" s="1"/>
  <c r="P15" i="1"/>
  <c r="U15" i="1" s="1"/>
  <c r="R14" i="1"/>
  <c r="W14" i="1" s="1"/>
  <c r="C20" i="3"/>
  <c r="L22" i="1"/>
  <c r="N22" i="1"/>
  <c r="K22" i="1"/>
  <c r="K10" i="1"/>
  <c r="C8" i="3"/>
  <c r="L10" i="1"/>
  <c r="N10" i="1"/>
  <c r="K17" i="1"/>
  <c r="C15" i="3"/>
  <c r="N17" i="1"/>
  <c r="L17" i="1"/>
  <c r="Q15" i="1"/>
  <c r="V15" i="1" s="1"/>
  <c r="R13" i="1"/>
  <c r="E59" i="1" s="1"/>
  <c r="O15" i="1"/>
  <c r="B61" i="1" s="1"/>
  <c r="C26" i="3"/>
  <c r="K28" i="1"/>
  <c r="L28" i="1"/>
  <c r="N28" i="1"/>
  <c r="C10" i="3"/>
  <c r="L12" i="1"/>
  <c r="K12" i="1"/>
  <c r="N12" i="1"/>
  <c r="N24" i="1"/>
  <c r="K24" i="1"/>
  <c r="C22" i="3"/>
  <c r="L24" i="1"/>
  <c r="K18" i="1"/>
  <c r="C16" i="3"/>
  <c r="N18" i="1"/>
  <c r="L18" i="1"/>
  <c r="K8" i="1"/>
  <c r="N8" i="1"/>
  <c r="C6" i="3"/>
  <c r="L8" i="1"/>
  <c r="C14" i="3"/>
  <c r="N16" i="1"/>
  <c r="L16" i="1"/>
  <c r="K16" i="1"/>
  <c r="C32" i="3"/>
  <c r="K34" i="1"/>
  <c r="N34" i="1"/>
  <c r="L34" i="1"/>
  <c r="C37" i="3"/>
  <c r="N39" i="1"/>
  <c r="L39" i="1"/>
  <c r="K39" i="1"/>
  <c r="C77" i="1"/>
  <c r="C66" i="1"/>
  <c r="C84" i="1"/>
  <c r="E84" i="1"/>
  <c r="E66" i="1"/>
  <c r="C69" i="1"/>
  <c r="D83" i="1"/>
  <c r="E77" i="1"/>
  <c r="D66" i="1"/>
  <c r="E69" i="1"/>
  <c r="D73" i="1"/>
  <c r="C71" i="1"/>
  <c r="D86" i="1"/>
  <c r="D81" i="1"/>
  <c r="E67" i="1"/>
  <c r="D60" i="1"/>
  <c r="D53" i="1"/>
  <c r="E76" i="1"/>
  <c r="E65" i="1"/>
  <c r="C60" i="1"/>
  <c r="E81" i="1"/>
  <c r="C86" i="1"/>
  <c r="C53" i="1"/>
  <c r="D59" i="1"/>
  <c r="E61" i="1"/>
  <c r="E86" i="1"/>
  <c r="E53" i="1"/>
  <c r="C81" i="1"/>
  <c r="C65" i="1"/>
  <c r="T14" i="1" l="1"/>
  <c r="T19" i="1"/>
  <c r="V19" i="1"/>
  <c r="C76" i="1"/>
  <c r="D67" i="1"/>
  <c r="W37" i="1"/>
  <c r="T13" i="1"/>
  <c r="W13" i="1"/>
  <c r="D77" i="1"/>
  <c r="E71" i="1"/>
  <c r="E57" i="1"/>
  <c r="T25" i="1"/>
  <c r="T38" i="1"/>
  <c r="E78" i="1"/>
  <c r="V32" i="1"/>
  <c r="U11" i="1"/>
  <c r="E60" i="1"/>
  <c r="D71" i="1"/>
  <c r="C73" i="1"/>
  <c r="U32" i="1"/>
  <c r="V38" i="1"/>
  <c r="V23" i="1"/>
  <c r="D61" i="1"/>
  <c r="U13" i="1"/>
  <c r="E73" i="1"/>
  <c r="C83" i="1"/>
  <c r="T15" i="1"/>
  <c r="D57" i="1"/>
  <c r="T27" i="1"/>
  <c r="C41" i="3"/>
  <c r="G8" i="3" s="1"/>
  <c r="C40" i="3"/>
  <c r="F37" i="3" s="1"/>
  <c r="Q18" i="1"/>
  <c r="V18" i="1" s="1"/>
  <c r="R18" i="1"/>
  <c r="W18" i="1" s="1"/>
  <c r="O18" i="1"/>
  <c r="B64" i="1" s="1"/>
  <c r="P18" i="1"/>
  <c r="C64" i="1" s="1"/>
  <c r="P24" i="1"/>
  <c r="U24" i="1" s="1"/>
  <c r="R24" i="1"/>
  <c r="E70" i="1" s="1"/>
  <c r="O24" i="1"/>
  <c r="B70" i="1" s="1"/>
  <c r="Q24" i="1"/>
  <c r="V24" i="1" s="1"/>
  <c r="Q10" i="1"/>
  <c r="V10" i="1" s="1"/>
  <c r="P10" i="1"/>
  <c r="U10" i="1" s="1"/>
  <c r="O10" i="1"/>
  <c r="B56" i="1" s="1"/>
  <c r="R10" i="1"/>
  <c r="W10" i="1" s="1"/>
  <c r="P33" i="1"/>
  <c r="U33" i="1" s="1"/>
  <c r="O33" i="1"/>
  <c r="B79" i="1" s="1"/>
  <c r="Q33" i="1"/>
  <c r="V33" i="1" s="1"/>
  <c r="R33" i="1"/>
  <c r="W33" i="1" s="1"/>
  <c r="Q6" i="1"/>
  <c r="D52" i="1" s="1"/>
  <c r="P6" i="1"/>
  <c r="U6" i="1" s="1"/>
  <c r="O6" i="1"/>
  <c r="T6" i="1" s="1"/>
  <c r="R6" i="1"/>
  <c r="W6" i="1" s="1"/>
  <c r="Q16" i="1"/>
  <c r="V16" i="1" s="1"/>
  <c r="R16" i="1"/>
  <c r="W16" i="1" s="1"/>
  <c r="O16" i="1"/>
  <c r="B62" i="1" s="1"/>
  <c r="P16" i="1"/>
  <c r="U16" i="1" s="1"/>
  <c r="C61" i="1"/>
  <c r="P36" i="1"/>
  <c r="C82" i="1" s="1"/>
  <c r="R36" i="1"/>
  <c r="W36" i="1" s="1"/>
  <c r="O36" i="1"/>
  <c r="B82" i="1" s="1"/>
  <c r="Q36" i="1"/>
  <c r="V36" i="1" s="1"/>
  <c r="R39" i="1"/>
  <c r="W39" i="1" s="1"/>
  <c r="P39" i="1"/>
  <c r="U39" i="1" s="1"/>
  <c r="O39" i="1"/>
  <c r="B85" i="1" s="1"/>
  <c r="Q39" i="1"/>
  <c r="V39" i="1" s="1"/>
  <c r="P26" i="1"/>
  <c r="U26" i="1" s="1"/>
  <c r="Q26" i="1"/>
  <c r="V26" i="1" s="1"/>
  <c r="R26" i="1"/>
  <c r="W26" i="1" s="1"/>
  <c r="O26" i="1"/>
  <c r="B72" i="1" s="1"/>
  <c r="G7" i="3"/>
  <c r="R12" i="1"/>
  <c r="W12" i="1" s="1"/>
  <c r="Q12" i="1"/>
  <c r="V12" i="1" s="1"/>
  <c r="O12" i="1"/>
  <c r="B58" i="1" s="1"/>
  <c r="P12" i="1"/>
  <c r="U12" i="1" s="1"/>
  <c r="L46" i="1"/>
  <c r="O34" i="1"/>
  <c r="B80" i="1" s="1"/>
  <c r="P34" i="1"/>
  <c r="U34" i="1" s="1"/>
  <c r="R34" i="1"/>
  <c r="W34" i="1" s="1"/>
  <c r="Q34" i="1"/>
  <c r="V34" i="1" s="1"/>
  <c r="G6" i="3"/>
  <c r="G24" i="3"/>
  <c r="Q8" i="1"/>
  <c r="V8" i="1" s="1"/>
  <c r="R8" i="1"/>
  <c r="W8" i="1" s="1"/>
  <c r="O8" i="1"/>
  <c r="B54" i="1" s="1"/>
  <c r="P8" i="1"/>
  <c r="U8" i="1" s="1"/>
  <c r="Q28" i="1"/>
  <c r="V28" i="1" s="1"/>
  <c r="R28" i="1"/>
  <c r="W28" i="1" s="1"/>
  <c r="O28" i="1"/>
  <c r="B74" i="1" s="1"/>
  <c r="P28" i="1"/>
  <c r="U28" i="1" s="1"/>
  <c r="P17" i="1"/>
  <c r="U17" i="1" s="1"/>
  <c r="Q17" i="1"/>
  <c r="V17" i="1" s="1"/>
  <c r="R17" i="1"/>
  <c r="O17" i="1"/>
  <c r="B63" i="1" s="1"/>
  <c r="R22" i="1"/>
  <c r="W22" i="1" s="1"/>
  <c r="O22" i="1"/>
  <c r="B68" i="1" s="1"/>
  <c r="Q22" i="1"/>
  <c r="V22" i="1" s="1"/>
  <c r="P22" i="1"/>
  <c r="U22" i="1" s="1"/>
  <c r="O9" i="1"/>
  <c r="B55" i="1" s="1"/>
  <c r="P9" i="1"/>
  <c r="U9" i="1" s="1"/>
  <c r="Q9" i="1"/>
  <c r="R9" i="1"/>
  <c r="W9" i="1" s="1"/>
  <c r="F22" i="3"/>
  <c r="G22" i="3"/>
  <c r="Q29" i="1"/>
  <c r="V29" i="1" s="1"/>
  <c r="O29" i="1"/>
  <c r="B75" i="1" s="1"/>
  <c r="R29" i="1"/>
  <c r="W29" i="1" s="1"/>
  <c r="P29" i="1"/>
  <c r="U29" i="1" s="1"/>
  <c r="F27" i="3" l="1"/>
  <c r="F16" i="3"/>
  <c r="B52" i="1"/>
  <c r="F73" i="1" s="1"/>
  <c r="F6" i="3"/>
  <c r="G37" i="3"/>
  <c r="C56" i="1"/>
  <c r="G32" i="3"/>
  <c r="G10" i="3"/>
  <c r="G27" i="3"/>
  <c r="G4" i="3"/>
  <c r="F63" i="1"/>
  <c r="H37" i="3"/>
  <c r="M39" i="1" s="1"/>
  <c r="M85" i="1" s="1"/>
  <c r="F71" i="1"/>
  <c r="G20" i="3"/>
  <c r="F15" i="3"/>
  <c r="G15" i="3"/>
  <c r="G16" i="3"/>
  <c r="F74" i="1"/>
  <c r="F80" i="1"/>
  <c r="F56" i="1"/>
  <c r="F64" i="1"/>
  <c r="F83" i="1"/>
  <c r="F68" i="1"/>
  <c r="E82" i="1"/>
  <c r="F85" i="1"/>
  <c r="F52" i="1"/>
  <c r="F77" i="1"/>
  <c r="F57" i="1"/>
  <c r="F53" i="1"/>
  <c r="F66" i="1"/>
  <c r="F76" i="1"/>
  <c r="F75" i="1"/>
  <c r="F54" i="1"/>
  <c r="F72" i="1"/>
  <c r="F62" i="1"/>
  <c r="F70" i="1"/>
  <c r="U36" i="1"/>
  <c r="F81" i="1"/>
  <c r="F84" i="1"/>
  <c r="F86" i="1"/>
  <c r="F67" i="1"/>
  <c r="F82" i="1"/>
  <c r="F79" i="1"/>
  <c r="F55" i="1"/>
  <c r="F58" i="1"/>
  <c r="F60" i="1"/>
  <c r="F61" i="1"/>
  <c r="F65" i="1"/>
  <c r="F69" i="1"/>
  <c r="F78" i="1"/>
  <c r="H27" i="3"/>
  <c r="M29" i="1" s="1"/>
  <c r="N75" i="1" s="1"/>
  <c r="H22" i="3"/>
  <c r="M24" i="1" s="1"/>
  <c r="L70" i="1" s="1"/>
  <c r="H16" i="3"/>
  <c r="M18" i="1" s="1"/>
  <c r="L64" i="1" s="1"/>
  <c r="F31" i="3"/>
  <c r="F4" i="3"/>
  <c r="F32" i="3"/>
  <c r="F24" i="3"/>
  <c r="H24" i="3" s="1"/>
  <c r="M26" i="1" s="1"/>
  <c r="F10" i="3"/>
  <c r="F7" i="3"/>
  <c r="H7" i="3" s="1"/>
  <c r="M9" i="1" s="1"/>
  <c r="T12" i="1"/>
  <c r="T22" i="1"/>
  <c r="D56" i="1"/>
  <c r="T33" i="1"/>
  <c r="T28" i="1"/>
  <c r="T34" i="1"/>
  <c r="T26" i="1"/>
  <c r="V9" i="1"/>
  <c r="Z16" i="1" s="1"/>
  <c r="T16" i="1"/>
  <c r="T36" i="1"/>
  <c r="T17" i="1"/>
  <c r="T29" i="1"/>
  <c r="V6" i="1"/>
  <c r="W17" i="1"/>
  <c r="T24" i="1"/>
  <c r="T10" i="1"/>
  <c r="T18" i="1"/>
  <c r="T39" i="1"/>
  <c r="W24" i="1"/>
  <c r="AA33" i="1" s="1"/>
  <c r="U18" i="1"/>
  <c r="Y28" i="1" s="1"/>
  <c r="T8" i="1"/>
  <c r="T9" i="1"/>
  <c r="C58" i="1"/>
  <c r="D70" i="1"/>
  <c r="E72" i="1"/>
  <c r="C79" i="1"/>
  <c r="D62" i="1"/>
  <c r="D75" i="1"/>
  <c r="D55" i="1"/>
  <c r="E63" i="1"/>
  <c r="D58" i="1"/>
  <c r="D72" i="1"/>
  <c r="R42" i="1"/>
  <c r="R43" i="1"/>
  <c r="H4" i="3"/>
  <c r="M6" i="1" s="1"/>
  <c r="N52" i="1" s="1"/>
  <c r="C54" i="1"/>
  <c r="C55" i="1"/>
  <c r="D63" i="1"/>
  <c r="E54" i="1"/>
  <c r="H6" i="3"/>
  <c r="M8" i="1" s="1"/>
  <c r="E52" i="1"/>
  <c r="E58" i="1"/>
  <c r="C72" i="1"/>
  <c r="O42" i="1"/>
  <c r="O43" i="1"/>
  <c r="C70" i="1"/>
  <c r="F5" i="3"/>
  <c r="F9" i="3"/>
  <c r="F28" i="3"/>
  <c r="F21" i="3"/>
  <c r="F36" i="3"/>
  <c r="F35" i="3"/>
  <c r="F19" i="3"/>
  <c r="F29" i="3"/>
  <c r="F18" i="3"/>
  <c r="F33" i="3"/>
  <c r="F38" i="3"/>
  <c r="F30" i="3"/>
  <c r="F25" i="3"/>
  <c r="F12" i="3"/>
  <c r="F13" i="3"/>
  <c r="F23" i="3"/>
  <c r="F11" i="3"/>
  <c r="F17" i="3"/>
  <c r="E56" i="1"/>
  <c r="E75" i="1"/>
  <c r="E68" i="1"/>
  <c r="D74" i="1"/>
  <c r="E62" i="1"/>
  <c r="E55" i="1"/>
  <c r="C63" i="1"/>
  <c r="D54" i="1"/>
  <c r="D85" i="1"/>
  <c r="P43" i="1"/>
  <c r="P42" i="1"/>
  <c r="G5" i="3"/>
  <c r="G35" i="3"/>
  <c r="G38" i="3"/>
  <c r="G29" i="3"/>
  <c r="G19" i="3"/>
  <c r="G33" i="3"/>
  <c r="G28" i="3"/>
  <c r="G21" i="3"/>
  <c r="G25" i="3"/>
  <c r="G9" i="3"/>
  <c r="G18" i="3"/>
  <c r="G36" i="3"/>
  <c r="G17" i="3"/>
  <c r="G23" i="3"/>
  <c r="G12" i="3"/>
  <c r="G30" i="3"/>
  <c r="G11" i="3"/>
  <c r="G13" i="3"/>
  <c r="C68" i="1"/>
  <c r="C74" i="1"/>
  <c r="D80" i="1"/>
  <c r="B88" i="1"/>
  <c r="B89" i="1"/>
  <c r="F8" i="3"/>
  <c r="H8" i="3" s="1"/>
  <c r="M10" i="1" s="1"/>
  <c r="G31" i="3"/>
  <c r="Q42" i="1"/>
  <c r="Q46" i="1"/>
  <c r="Q43" i="1"/>
  <c r="G34" i="3"/>
  <c r="D82" i="1"/>
  <c r="D68" i="1"/>
  <c r="E80" i="1"/>
  <c r="C52" i="1"/>
  <c r="C85" i="1"/>
  <c r="G14" i="3"/>
  <c r="C62" i="1"/>
  <c r="E79" i="1"/>
  <c r="F26" i="3"/>
  <c r="E64" i="1"/>
  <c r="F34" i="3"/>
  <c r="C75" i="1"/>
  <c r="E74" i="1"/>
  <c r="C80" i="1"/>
  <c r="E85" i="1"/>
  <c r="F14" i="3"/>
  <c r="D79" i="1"/>
  <c r="G26" i="3"/>
  <c r="D64" i="1"/>
  <c r="F20" i="3"/>
  <c r="H10" i="3" l="1"/>
  <c r="M12" i="1" s="1"/>
  <c r="H20" i="3"/>
  <c r="M22" i="1" s="1"/>
  <c r="M68" i="1" s="1"/>
  <c r="H32" i="3"/>
  <c r="M34" i="1" s="1"/>
  <c r="H15" i="3"/>
  <c r="M17" i="1" s="1"/>
  <c r="F59" i="1"/>
  <c r="L85" i="1"/>
  <c r="K63" i="1"/>
  <c r="N63" i="1"/>
  <c r="K85" i="1"/>
  <c r="I73" i="1"/>
  <c r="N85" i="1"/>
  <c r="H65" i="1"/>
  <c r="H75" i="1"/>
  <c r="I54" i="1"/>
  <c r="Z9" i="1"/>
  <c r="H36" i="3"/>
  <c r="M38" i="1" s="1"/>
  <c r="K84" i="1" s="1"/>
  <c r="H31" i="3"/>
  <c r="M33" i="1" s="1"/>
  <c r="K79" i="1" s="1"/>
  <c r="H25" i="3"/>
  <c r="M27" i="1" s="1"/>
  <c r="N73" i="1" s="1"/>
  <c r="L58" i="1"/>
  <c r="N58" i="1"/>
  <c r="G52" i="1"/>
  <c r="G66" i="1"/>
  <c r="G67" i="1"/>
  <c r="G53" i="1"/>
  <c r="G65" i="1"/>
  <c r="G76" i="1"/>
  <c r="G69" i="1"/>
  <c r="G57" i="1"/>
  <c r="G71" i="1"/>
  <c r="G84" i="1"/>
  <c r="G60" i="1"/>
  <c r="G77" i="1"/>
  <c r="G78" i="1"/>
  <c r="G59" i="1"/>
  <c r="G81" i="1"/>
  <c r="G86" i="1"/>
  <c r="I64" i="1"/>
  <c r="H61" i="1"/>
  <c r="G70" i="1"/>
  <c r="I60" i="1"/>
  <c r="H68" i="1"/>
  <c r="I85" i="1"/>
  <c r="H82" i="1"/>
  <c r="H74" i="1"/>
  <c r="G54" i="1"/>
  <c r="H72" i="1"/>
  <c r="I72" i="1"/>
  <c r="H56" i="1"/>
  <c r="H73" i="1"/>
  <c r="H60" i="1"/>
  <c r="I70" i="1"/>
  <c r="I82" i="1"/>
  <c r="H71" i="1"/>
  <c r="I55" i="1"/>
  <c r="H62" i="1"/>
  <c r="G83" i="1"/>
  <c r="G80" i="1"/>
  <c r="I79" i="1"/>
  <c r="I68" i="1"/>
  <c r="G72" i="1"/>
  <c r="H58" i="1"/>
  <c r="H70" i="1"/>
  <c r="K64" i="1"/>
  <c r="G73" i="1"/>
  <c r="H57" i="1"/>
  <c r="H67" i="1"/>
  <c r="H83" i="1"/>
  <c r="I80" i="1"/>
  <c r="I62" i="1"/>
  <c r="G55" i="1"/>
  <c r="G79" i="1"/>
  <c r="H84" i="1"/>
  <c r="I74" i="1"/>
  <c r="G62" i="1"/>
  <c r="H80" i="1"/>
  <c r="H23" i="3"/>
  <c r="M25" i="1" s="1"/>
  <c r="H85" i="1"/>
  <c r="I75" i="1"/>
  <c r="I58" i="1"/>
  <c r="I63" i="1"/>
  <c r="G58" i="1"/>
  <c r="H53" i="1"/>
  <c r="G56" i="1"/>
  <c r="G82" i="1"/>
  <c r="G68" i="1"/>
  <c r="H79" i="1"/>
  <c r="H63" i="1"/>
  <c r="H77" i="1"/>
  <c r="H54" i="1"/>
  <c r="I52" i="1"/>
  <c r="I65" i="1"/>
  <c r="I77" i="1"/>
  <c r="I59" i="1"/>
  <c r="I84" i="1"/>
  <c r="I76" i="1"/>
  <c r="I67" i="1"/>
  <c r="I81" i="1"/>
  <c r="I83" i="1"/>
  <c r="I61" i="1"/>
  <c r="I53" i="1"/>
  <c r="I86" i="1"/>
  <c r="I69" i="1"/>
  <c r="I71" i="1"/>
  <c r="I66" i="1"/>
  <c r="I57" i="1"/>
  <c r="H55" i="1"/>
  <c r="G64" i="1"/>
  <c r="H76" i="1"/>
  <c r="H86" i="1"/>
  <c r="G61" i="1"/>
  <c r="H69" i="1"/>
  <c r="H78" i="1"/>
  <c r="G75" i="1"/>
  <c r="I56" i="1"/>
  <c r="H64" i="1"/>
  <c r="G85" i="1"/>
  <c r="G74" i="1"/>
  <c r="G63" i="1"/>
  <c r="I78" i="1"/>
  <c r="H59" i="1"/>
  <c r="H81" i="1"/>
  <c r="H52" i="1"/>
  <c r="H66" i="1"/>
  <c r="K55" i="1"/>
  <c r="M55" i="1"/>
  <c r="L55" i="1"/>
  <c r="N55" i="1"/>
  <c r="M72" i="1"/>
  <c r="L72" i="1"/>
  <c r="N72" i="1"/>
  <c r="K72" i="1"/>
  <c r="N80" i="1"/>
  <c r="K80" i="1"/>
  <c r="M58" i="1"/>
  <c r="K70" i="1"/>
  <c r="N70" i="1"/>
  <c r="H13" i="3"/>
  <c r="M15" i="1" s="1"/>
  <c r="L61" i="1" s="1"/>
  <c r="M70" i="1"/>
  <c r="M64" i="1"/>
  <c r="N64" i="1"/>
  <c r="K58" i="1"/>
  <c r="L75" i="1"/>
  <c r="M75" i="1"/>
  <c r="K75" i="1"/>
  <c r="H19" i="3"/>
  <c r="M21" i="1" s="1"/>
  <c r="K67" i="1" s="1"/>
  <c r="L63" i="1"/>
  <c r="M63" i="1"/>
  <c r="H26" i="3"/>
  <c r="M28" i="1" s="1"/>
  <c r="M74" i="1" s="1"/>
  <c r="H12" i="3"/>
  <c r="M14" i="1" s="1"/>
  <c r="M60" i="1" s="1"/>
  <c r="H28" i="3"/>
  <c r="M30" i="1" s="1"/>
  <c r="N76" i="1" s="1"/>
  <c r="H38" i="3"/>
  <c r="M40" i="1" s="1"/>
  <c r="N86" i="1" s="1"/>
  <c r="L80" i="1"/>
  <c r="M80" i="1"/>
  <c r="H5" i="3"/>
  <c r="M7" i="1" s="1"/>
  <c r="N53" i="1" s="1"/>
  <c r="N68" i="1"/>
  <c r="L68" i="1"/>
  <c r="Z29" i="1"/>
  <c r="K74" i="1"/>
  <c r="N74" i="1"/>
  <c r="Y34" i="1"/>
  <c r="Z22" i="1"/>
  <c r="H29" i="3"/>
  <c r="M31" i="1" s="1"/>
  <c r="AA9" i="1"/>
  <c r="AA22" i="1"/>
  <c r="E88" i="1"/>
  <c r="E89" i="1"/>
  <c r="Z24" i="1"/>
  <c r="AA25" i="1"/>
  <c r="AA21" i="1"/>
  <c r="AA38" i="1"/>
  <c r="W43" i="1"/>
  <c r="AA13" i="1"/>
  <c r="AA35" i="1"/>
  <c r="W42" i="1"/>
  <c r="AA32" i="1"/>
  <c r="AA15" i="1"/>
  <c r="AA37" i="1"/>
  <c r="AA14" i="1"/>
  <c r="AA11" i="1"/>
  <c r="AA40" i="1"/>
  <c r="AA19" i="1"/>
  <c r="AA30" i="1"/>
  <c r="AA7" i="1"/>
  <c r="AA31" i="1"/>
  <c r="AA23" i="1"/>
  <c r="AA27" i="1"/>
  <c r="AA6" i="1"/>
  <c r="AA20" i="1"/>
  <c r="AA10" i="1"/>
  <c r="K71" i="1"/>
  <c r="N71" i="1"/>
  <c r="M71" i="1"/>
  <c r="L71" i="1"/>
  <c r="Y37" i="1"/>
  <c r="Y32" i="1"/>
  <c r="Y30" i="1"/>
  <c r="Y31" i="1"/>
  <c r="Y35" i="1"/>
  <c r="Y20" i="1"/>
  <c r="Y10" i="1"/>
  <c r="Y36" i="1"/>
  <c r="Y19" i="1"/>
  <c r="Y23" i="1"/>
  <c r="Y7" i="1"/>
  <c r="Y25" i="1"/>
  <c r="Y40" i="1"/>
  <c r="Y11" i="1"/>
  <c r="Y6" i="1"/>
  <c r="Y14" i="1"/>
  <c r="Y27" i="1"/>
  <c r="Y38" i="1"/>
  <c r="U42" i="1"/>
  <c r="Y21" i="1"/>
  <c r="Y15" i="1"/>
  <c r="U43" i="1"/>
  <c r="Y13" i="1"/>
  <c r="AA12" i="1"/>
  <c r="Y22" i="1"/>
  <c r="N56" i="1"/>
  <c r="K56" i="1"/>
  <c r="L56" i="1"/>
  <c r="M56" i="1"/>
  <c r="Z28" i="1"/>
  <c r="B91" i="1"/>
  <c r="B90" i="1"/>
  <c r="AA24" i="1"/>
  <c r="H18" i="3"/>
  <c r="M20" i="1" s="1"/>
  <c r="Z39" i="1"/>
  <c r="O45" i="1"/>
  <c r="O44" i="1"/>
  <c r="M54" i="1"/>
  <c r="N54" i="1"/>
  <c r="K54" i="1"/>
  <c r="L54" i="1"/>
  <c r="Y18" i="1"/>
  <c r="Z12" i="1"/>
  <c r="P45" i="1"/>
  <c r="P44" i="1"/>
  <c r="Y26" i="1"/>
  <c r="Z36" i="1"/>
  <c r="Y16" i="1"/>
  <c r="H17" i="3"/>
  <c r="M19" i="1" s="1"/>
  <c r="Y24" i="1"/>
  <c r="Y9" i="1"/>
  <c r="Z33" i="1"/>
  <c r="H14" i="3"/>
  <c r="M16" i="1" s="1"/>
  <c r="AA28" i="1"/>
  <c r="H34" i="3"/>
  <c r="M36" i="1" s="1"/>
  <c r="N61" i="1"/>
  <c r="M61" i="1"/>
  <c r="K61" i="1"/>
  <c r="H9" i="3"/>
  <c r="M11" i="1" s="1"/>
  <c r="H35" i="3"/>
  <c r="M37" i="1" s="1"/>
  <c r="D88" i="1"/>
  <c r="D89" i="1"/>
  <c r="M52" i="1"/>
  <c r="L52" i="1"/>
  <c r="K52" i="1"/>
  <c r="Y33" i="1"/>
  <c r="Y12" i="1"/>
  <c r="L60" i="1"/>
  <c r="AA34" i="1"/>
  <c r="Z18" i="1"/>
  <c r="Q45" i="1"/>
  <c r="Q44" i="1"/>
  <c r="H11" i="3"/>
  <c r="M13" i="1" s="1"/>
  <c r="AA29" i="1"/>
  <c r="X35" i="1"/>
  <c r="X29" i="1"/>
  <c r="X30" i="1"/>
  <c r="X25" i="1"/>
  <c r="X15" i="1"/>
  <c r="X32" i="1"/>
  <c r="X11" i="1"/>
  <c r="X23" i="1"/>
  <c r="X12" i="1"/>
  <c r="X37" i="1"/>
  <c r="X8" i="1"/>
  <c r="X33" i="1"/>
  <c r="X22" i="1"/>
  <c r="X20" i="1"/>
  <c r="X14" i="1"/>
  <c r="X16" i="1"/>
  <c r="X6" i="1"/>
  <c r="X28" i="1"/>
  <c r="X7" i="1"/>
  <c r="X24" i="1"/>
  <c r="X10" i="1"/>
  <c r="X36" i="1"/>
  <c r="X18" i="1"/>
  <c r="X40" i="1"/>
  <c r="T43" i="1"/>
  <c r="X19" i="1"/>
  <c r="X13" i="1"/>
  <c r="X31" i="1"/>
  <c r="X9" i="1"/>
  <c r="X34" i="1"/>
  <c r="T42" i="1"/>
  <c r="X26" i="1"/>
  <c r="X27" i="1"/>
  <c r="X21" i="1"/>
  <c r="X39" i="1"/>
  <c r="X17" i="1"/>
  <c r="X38" i="1"/>
  <c r="AA8" i="1"/>
  <c r="R45" i="1"/>
  <c r="R44" i="1"/>
  <c r="AA17" i="1"/>
  <c r="AA26" i="1"/>
  <c r="Z21" i="1"/>
  <c r="Z23" i="1"/>
  <c r="Z35" i="1"/>
  <c r="Z14" i="1"/>
  <c r="Z27" i="1"/>
  <c r="Z6" i="1"/>
  <c r="Z37" i="1"/>
  <c r="Z32" i="1"/>
  <c r="Z38" i="1"/>
  <c r="V43" i="1"/>
  <c r="Z31" i="1"/>
  <c r="Z11" i="1"/>
  <c r="Z30" i="1"/>
  <c r="Z15" i="1"/>
  <c r="Z10" i="1"/>
  <c r="Z13" i="1"/>
  <c r="Z19" i="1"/>
  <c r="Z25" i="1"/>
  <c r="V42" i="1"/>
  <c r="Z40" i="1"/>
  <c r="Z20" i="1"/>
  <c r="Z7" i="1"/>
  <c r="H33" i="3"/>
  <c r="M35" i="1" s="1"/>
  <c r="Z26" i="1"/>
  <c r="AA18" i="1"/>
  <c r="Y39" i="1"/>
  <c r="M73" i="1"/>
  <c r="Z8" i="1"/>
  <c r="AA39" i="1"/>
  <c r="Y29" i="1"/>
  <c r="C88" i="1"/>
  <c r="C89" i="1"/>
  <c r="Z34" i="1"/>
  <c r="H30" i="3"/>
  <c r="M32" i="1" s="1"/>
  <c r="H21" i="3"/>
  <c r="M23" i="1" s="1"/>
  <c r="Y17" i="1"/>
  <c r="AA16" i="1"/>
  <c r="Z17" i="1"/>
  <c r="Y8" i="1"/>
  <c r="AA36" i="1"/>
  <c r="N84" i="1" l="1"/>
  <c r="M84" i="1"/>
  <c r="K73" i="1"/>
  <c r="L84" i="1"/>
  <c r="K68" i="1"/>
  <c r="K76" i="1"/>
  <c r="L73" i="1"/>
  <c r="L86" i="1"/>
  <c r="M86" i="1"/>
  <c r="M76" i="1"/>
  <c r="L76" i="1"/>
  <c r="N79" i="1"/>
  <c r="K86" i="1"/>
  <c r="L79" i="1"/>
  <c r="N60" i="1"/>
  <c r="L53" i="1"/>
  <c r="M79" i="1"/>
  <c r="K60" i="1"/>
  <c r="L74" i="1"/>
  <c r="M53" i="1"/>
  <c r="K53" i="1"/>
  <c r="M67" i="1"/>
  <c r="N67" i="1"/>
  <c r="L67" i="1"/>
  <c r="T44" i="1"/>
  <c r="T45" i="1"/>
  <c r="D90" i="1"/>
  <c r="D91" i="1"/>
  <c r="M82" i="1"/>
  <c r="L82" i="1"/>
  <c r="N82" i="1"/>
  <c r="K82" i="1"/>
  <c r="L77" i="1"/>
  <c r="K77" i="1"/>
  <c r="M77" i="1"/>
  <c r="N77" i="1"/>
  <c r="V45" i="1"/>
  <c r="V44" i="1"/>
  <c r="U45" i="1"/>
  <c r="U44" i="1"/>
  <c r="L78" i="1"/>
  <c r="K78" i="1"/>
  <c r="N78" i="1"/>
  <c r="M78" i="1"/>
  <c r="K65" i="1"/>
  <c r="L65" i="1"/>
  <c r="M65" i="1"/>
  <c r="N65" i="1"/>
  <c r="R65" i="1" s="1"/>
  <c r="N59" i="1"/>
  <c r="K59" i="1"/>
  <c r="L59" i="1"/>
  <c r="M59" i="1"/>
  <c r="N83" i="1"/>
  <c r="M83" i="1"/>
  <c r="L83" i="1"/>
  <c r="K83" i="1"/>
  <c r="L62" i="1"/>
  <c r="M62" i="1"/>
  <c r="K62" i="1"/>
  <c r="N62" i="1"/>
  <c r="E90" i="1"/>
  <c r="E91" i="1"/>
  <c r="C91" i="1"/>
  <c r="C90" i="1"/>
  <c r="M57" i="1"/>
  <c r="N57" i="1"/>
  <c r="K57" i="1"/>
  <c r="L57" i="1"/>
  <c r="K81" i="1"/>
  <c r="N81" i="1"/>
  <c r="M81" i="1"/>
  <c r="L81" i="1"/>
  <c r="P81" i="1" s="1"/>
  <c r="L69" i="1"/>
  <c r="M69" i="1"/>
  <c r="K69" i="1"/>
  <c r="N69" i="1"/>
  <c r="M66" i="1"/>
  <c r="N66" i="1"/>
  <c r="L66" i="1"/>
  <c r="K66" i="1"/>
  <c r="O66" i="1" s="1"/>
  <c r="W45" i="1"/>
  <c r="W44" i="1"/>
  <c r="Q79" i="1" l="1"/>
  <c r="P73" i="1"/>
  <c r="P52" i="1"/>
  <c r="O61" i="1"/>
  <c r="Q64" i="1"/>
  <c r="Q86" i="1"/>
  <c r="O83" i="1"/>
  <c r="R63" i="1"/>
  <c r="R72" i="1"/>
  <c r="R75" i="1"/>
  <c r="P75" i="1"/>
  <c r="R71" i="1"/>
  <c r="R53" i="1"/>
  <c r="P66" i="1"/>
  <c r="R67" i="1"/>
  <c r="O60" i="1"/>
  <c r="O52" i="1"/>
  <c r="O71" i="1"/>
  <c r="R79" i="1"/>
  <c r="R84" i="1"/>
  <c r="O55" i="1"/>
  <c r="O80" i="1"/>
  <c r="R66" i="1"/>
  <c r="R81" i="1"/>
  <c r="Q83" i="1"/>
  <c r="P65" i="1"/>
  <c r="P82" i="1"/>
  <c r="Q67" i="1"/>
  <c r="P74" i="1"/>
  <c r="P64" i="1"/>
  <c r="Q61" i="1"/>
  <c r="O54" i="1"/>
  <c r="Q56" i="1"/>
  <c r="O73" i="1"/>
  <c r="Q84" i="1"/>
  <c r="Q71" i="1"/>
  <c r="R80" i="1"/>
  <c r="Q85" i="1"/>
  <c r="Q68" i="1"/>
  <c r="Q65" i="1"/>
  <c r="P68" i="1"/>
  <c r="O85" i="1"/>
  <c r="P56" i="1"/>
  <c r="P86" i="1"/>
  <c r="Q82" i="1"/>
  <c r="P70" i="1"/>
  <c r="P72" i="1"/>
  <c r="R52" i="1"/>
  <c r="R68" i="1"/>
  <c r="R64" i="1"/>
  <c r="P85" i="1"/>
  <c r="O82" i="1"/>
  <c r="P60" i="1"/>
  <c r="Q81" i="1"/>
  <c r="O81" i="1"/>
  <c r="O53" i="1"/>
  <c r="O64" i="1"/>
  <c r="R69" i="1"/>
  <c r="Q59" i="1"/>
  <c r="R77" i="1"/>
  <c r="R55" i="1"/>
  <c r="Q52" i="1"/>
  <c r="Q74" i="1"/>
  <c r="O69" i="1"/>
  <c r="O62" i="1"/>
  <c r="P59" i="1"/>
  <c r="R78" i="1"/>
  <c r="Q77" i="1"/>
  <c r="O63" i="1"/>
  <c r="R54" i="1"/>
  <c r="O70" i="1"/>
  <c r="R70" i="1"/>
  <c r="R60" i="1"/>
  <c r="O67" i="1"/>
  <c r="R61" i="1"/>
  <c r="O72" i="1"/>
  <c r="Q55" i="1"/>
  <c r="O68" i="1"/>
  <c r="O79" i="1"/>
  <c r="P67" i="1"/>
  <c r="P84" i="1"/>
  <c r="P71" i="1"/>
  <c r="R82" i="1"/>
  <c r="R83" i="1"/>
  <c r="R56" i="1"/>
  <c r="O86" i="1"/>
  <c r="P57" i="1"/>
  <c r="Q78" i="1"/>
  <c r="Q54" i="1"/>
  <c r="Q72" i="1"/>
  <c r="P61" i="1"/>
  <c r="P54" i="1"/>
  <c r="P58" i="1"/>
  <c r="P76" i="1"/>
  <c r="Q60" i="1"/>
  <c r="O57" i="1"/>
  <c r="Q69" i="1"/>
  <c r="R57" i="1"/>
  <c r="Q62" i="1"/>
  <c r="O59" i="1"/>
  <c r="O78" i="1"/>
  <c r="O77" i="1"/>
  <c r="P55" i="1"/>
  <c r="R73" i="1"/>
  <c r="Q75" i="1"/>
  <c r="O75" i="1"/>
  <c r="Q76" i="1"/>
  <c r="Q80" i="1"/>
  <c r="Q70" i="1"/>
  <c r="O58" i="1"/>
  <c r="O74" i="1"/>
  <c r="R86" i="1"/>
  <c r="R58" i="1"/>
  <c r="P83" i="1"/>
  <c r="Q66" i="1"/>
  <c r="O65" i="1"/>
  <c r="P53" i="1"/>
  <c r="R62" i="1"/>
  <c r="Q53" i="1"/>
  <c r="P69" i="1"/>
  <c r="Q57" i="1"/>
  <c r="P62" i="1"/>
  <c r="R59" i="1"/>
  <c r="P78" i="1"/>
  <c r="P77" i="1"/>
  <c r="Q58" i="1"/>
  <c r="R76" i="1"/>
  <c r="O56" i="1"/>
  <c r="P80" i="1"/>
  <c r="Q73" i="1"/>
  <c r="P79" i="1"/>
  <c r="O76" i="1"/>
  <c r="P63" i="1"/>
  <c r="Q63" i="1"/>
  <c r="R74" i="1"/>
  <c r="O84" i="1"/>
  <c r="R85" i="1"/>
  <c r="K88" i="1"/>
  <c r="L88" i="1"/>
  <c r="N89" i="1"/>
  <c r="N91" i="1" s="1"/>
  <c r="K89" i="1"/>
  <c r="K91" i="1" s="1"/>
  <c r="M88" i="1"/>
  <c r="N88" i="1"/>
  <c r="M89" i="1"/>
  <c r="L89" i="1"/>
  <c r="N90" i="1" l="1"/>
  <c r="K90" i="1"/>
  <c r="M91" i="1"/>
  <c r="M90" i="1"/>
  <c r="L90" i="1"/>
  <c r="L91" i="1"/>
</calcChain>
</file>

<file path=xl/sharedStrings.xml><?xml version="1.0" encoding="utf-8"?>
<sst xmlns="http://schemas.openxmlformats.org/spreadsheetml/2006/main" count="250" uniqueCount="119">
  <si>
    <t>Country</t>
  </si>
  <si>
    <t>Lexp (benefit)</t>
  </si>
  <si>
    <t>Mortality (cost)</t>
  </si>
  <si>
    <t>Doctors (benefit)</t>
  </si>
  <si>
    <t>Beds (benefit)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</si>
  <si>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</si>
  <si>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</si>
  <si>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</si>
  <si>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</si>
  <si>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</si>
  <si>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</si>
  <si>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</si>
  <si>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</si>
  <si>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</si>
  <si>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</si>
  <si>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</si>
  <si>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</si>
  <si>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</si>
  <si>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</si>
  <si>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</si>
  <si>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</si>
  <si>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</si>
  <si>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</si>
  <si>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</si>
  <si>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</si>
  <si>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</si>
  <si>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</si>
  <si>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</si>
  <si>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</si>
  <si>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</si>
  <si>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Poland</t>
  </si>
  <si>
    <t>Portugal</t>
  </si>
  <si>
    <t>Slovak Rep</t>
  </si>
  <si>
    <t>Slovenia</t>
  </si>
  <si>
    <t>Spain</t>
  </si>
  <si>
    <t>Sweden</t>
  </si>
  <si>
    <t>Switzerland</t>
  </si>
  <si>
    <t>Türkiye</t>
  </si>
  <si>
    <t>UK</t>
  </si>
  <si>
    <t>USA</t>
  </si>
  <si>
    <t>G</t>
  </si>
  <si>
    <t>T</t>
  </si>
  <si>
    <t>A</t>
  </si>
  <si>
    <t>x1</t>
  </si>
  <si>
    <t>x2</t>
  </si>
  <si>
    <t>x3</t>
  </si>
  <si>
    <t>x4</t>
  </si>
  <si>
    <t>z1</t>
  </si>
  <si>
    <t>z3</t>
  </si>
  <si>
    <t>z4</t>
  </si>
  <si>
    <t>[Health at a Glance 2025]</t>
  </si>
  <si>
    <t>mean</t>
  </si>
  <si>
    <t>stdev</t>
  </si>
  <si>
    <t>CV</t>
  </si>
  <si>
    <t>Mean</t>
  </si>
  <si>
    <t>Stdev</t>
  </si>
  <si>
    <t>SE</t>
  </si>
  <si>
    <t>Normalized 70 to 130</t>
  </si>
  <si>
    <t>Retention factor</t>
  </si>
  <si>
    <t>Baseline operators</t>
  </si>
  <si>
    <t>Arithmetic Adjusted Composite Index</t>
  </si>
  <si>
    <t>Hierarchy</t>
  </si>
  <si>
    <t xml:space="preserve">Table </t>
  </si>
  <si>
    <t>Median</t>
  </si>
  <si>
    <t>z2(Rev)</t>
  </si>
  <si>
    <t>AL</t>
  </si>
  <si>
    <t>AQ</t>
  </si>
  <si>
    <t>AR</t>
  </si>
  <si>
    <t>AE</t>
  </si>
  <si>
    <t>Rank AL</t>
  </si>
  <si>
    <t>Rank AQ</t>
  </si>
  <si>
    <t>Rank AE</t>
  </si>
  <si>
    <t>Rank AR</t>
  </si>
  <si>
    <t>Linear  L= 1-CV</t>
  </si>
  <si>
    <t>Quadratic Q= 1-CV^2</t>
  </si>
  <si>
    <t>Rreciprocal R= 1/(1+CV)</t>
  </si>
  <si>
    <t>Exponential E= exp(-CV)</t>
  </si>
  <si>
    <t>Max</t>
  </si>
  <si>
    <t>Min</t>
  </si>
  <si>
    <t>V+</t>
  </si>
  <si>
    <t>V-</t>
  </si>
  <si>
    <t>D+</t>
  </si>
  <si>
    <t>D-</t>
  </si>
  <si>
    <t>TOPSIS</t>
  </si>
  <si>
    <t>GL</t>
  </si>
  <si>
    <t>GQ</t>
  </si>
  <si>
    <t>GR</t>
  </si>
  <si>
    <t>GE</t>
  </si>
  <si>
    <t>Rank GL</t>
  </si>
  <si>
    <t>Rank GQ</t>
  </si>
  <si>
    <t>Rank GR</t>
  </si>
  <si>
    <t>Rank GE</t>
  </si>
  <si>
    <t>TL</t>
  </si>
  <si>
    <t>TQ</t>
  </si>
  <si>
    <t>TR</t>
  </si>
  <si>
    <t>TE</t>
  </si>
  <si>
    <t>Rank TL</t>
  </si>
  <si>
    <t>Rank TQ</t>
  </si>
  <si>
    <t>Rank TR</t>
  </si>
  <si>
    <t>Rank TE</t>
  </si>
  <si>
    <t>Geometic Adjusted Composite Index</t>
  </si>
  <si>
    <t>TOPSIS Adjusted Composite Index</t>
  </si>
  <si>
    <t>Normalized matrix</t>
  </si>
  <si>
    <t>Ideal point</t>
  </si>
  <si>
    <t>Anti-ideal point</t>
  </si>
  <si>
    <t>Mortality (Reversal) 70 to 130</t>
  </si>
  <si>
    <t>Mortality (Reversal)</t>
  </si>
  <si>
    <t>z2</t>
  </si>
  <si>
    <t>x2(Rev)</t>
  </si>
  <si>
    <t>Table S2 Baseline composite scores, coefficient of variation, and retention factors for λ=1</t>
  </si>
  <si>
    <t>Table S1 Raw and normalized selected OECD health indicators</t>
  </si>
  <si>
    <t>Table S3 Arithmetic-mean adjusted indices for OECD health indicators</t>
  </si>
  <si>
    <t>threshold values for typology</t>
  </si>
  <si>
    <t>Table S4 Geometric-mean adjusted indices for OECD health indicators</t>
  </si>
  <si>
    <t xml:space="preserve">Source: OECD (2025). </t>
  </si>
  <si>
    <t>Available at:</t>
  </si>
  <si>
    <t xml:space="preserve">https://www.oecd.org/en/publications/health-at-a-glance-2025_8f9e3f98-en/full-report/indicator-overview-country-dashboards-and-major-trends_368ac397.html#section-d1e1150-4103b9b836  </t>
  </si>
  <si>
    <t xml:space="preserve">https://www.oecd.org/content/dam/oecd/en/publications/reports/2025/11/health-at-a-glance-2025_a894f72e/8f9e3f98-en.pdf  </t>
  </si>
  <si>
    <r>
      <t>Supplementary material to</t>
    </r>
    <r>
      <rPr>
        <b/>
        <sz val="11"/>
        <color theme="1"/>
        <rFont val="Aptos Narrow"/>
        <family val="2"/>
        <scheme val="minor"/>
      </rPr>
      <t xml:space="preserve"> A Three-Decision Framework for Explicit Adjustment in Composite Indices: Integrating Aggregation, Multidimensional Balance, and Policy Diagnosis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</si>
</sst>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"/>
      <family val="2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FFFFFF"/>
      </patternFill>
    </fill>
    <fill>
      <patternFill patternType="solid">
        <fgColor rgb="FFC0E6F5"/>
        <bgColor rgb="FFC0E6F5"/>
      </patternFill>
    </fill>
    <fill>
      <patternFill patternType="solid">
        <fgColor rgb="FF156082"/>
        <bgColor rgb="FF156082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C0E6F5"/>
      </patternFill>
    </fill>
  </fills>
  <borders count="7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2" fontId="2" fillId="3" borderId="2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  <xf numFmtId="165" fontId="2" fillId="3" borderId="2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1" fontId="2" fillId="3" borderId="2" xfId="0" applyNumberFormat="1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164" fontId="4" fillId="6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4" fontId="0" fillId="0" borderId="0" xfId="0" applyNumberFormat="1"/>
    <xf numFmtId="164" fontId="5" fillId="8" borderId="0" xfId="0" applyNumberFormat="1" applyFont="1" applyFill="1"/>
    <xf numFmtId="164" fontId="0" fillId="9" borderId="0" xfId="0" applyNumberFormat="1" applyFill="1"/>
    <xf numFmtId="164" fontId="0" fillId="7" borderId="0" xfId="0" applyNumberFormat="1" applyFill="1"/>
    <xf numFmtId="164" fontId="0" fillId="10" borderId="0" xfId="0" applyNumberFormat="1" applyFill="1"/>
    <xf numFmtId="0" fontId="1" fillId="4" borderId="6" xfId="0" applyFont="1" applyFill="1" applyBorder="1" applyAlignment="1">
      <alignment horizontal="center" vertical="center" wrapText="1"/>
    </xf>
    <xf numFmtId="0" fontId="0" fillId="7" borderId="0" xfId="0" applyFill="1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5" fillId="0" borderId="0" xfId="0" applyFont="1"/>
    <xf numFmtId="0" fontId="0" fillId="11" borderId="0" xfId="0" applyFill="1"/>
    <xf numFmtId="0" fontId="1" fillId="12" borderId="0" xfId="0" applyFont="1" applyFill="1" applyAlignment="1">
      <alignment horizontal="center" vertical="center" wrapText="1"/>
    </xf>
    <xf numFmtId="0" fontId="6" fillId="7" borderId="0" xfId="0" applyFont="1" applyFill="1"/>
    <xf numFmtId="2" fontId="0" fillId="0" borderId="0" xfId="0" applyNumberForma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0" fillId="0" borderId="0" xfId="0" applyNumberFormat="1"/>
    <xf numFmtId="2" fontId="2" fillId="10" borderId="2" xfId="0" applyNumberFormat="1" applyFont="1" applyFill="1" applyBorder="1" applyAlignment="1">
      <alignment vertical="center" wrapText="1"/>
    </xf>
    <xf numFmtId="2" fontId="3" fillId="10" borderId="2" xfId="0" applyNumberFormat="1" applyFont="1" applyFill="1" applyBorder="1" applyAlignment="1">
      <alignment vertical="center" wrapText="1"/>
    </xf>
    <xf numFmtId="165" fontId="5" fillId="0" borderId="0" xfId="0" applyNumberFormat="1" applyFont="1"/>
    <xf numFmtId="2" fontId="0" fillId="0" borderId="0" xfId="0" applyNumberFormat="1" applyAlignment="1">
      <alignment horizontal="right"/>
    </xf>
    <xf numFmtId="164" fontId="4" fillId="13" borderId="0" xfId="0" applyNumberFormat="1" applyFont="1" applyFill="1" applyAlignment="1">
      <alignment vertical="center" wrapText="1"/>
    </xf>
    <xf numFmtId="164" fontId="4" fillId="15" borderId="0" xfId="0" applyNumberFormat="1" applyFont="1" applyFill="1" applyAlignment="1">
      <alignment vertical="center" wrapText="1"/>
    </xf>
    <xf numFmtId="164" fontId="0" fillId="15" borderId="0" xfId="0" applyNumberFormat="1" applyFill="1"/>
    <xf numFmtId="164" fontId="5" fillId="15" borderId="0" xfId="0" applyNumberFormat="1" applyFont="1" applyFill="1"/>
    <xf numFmtId="0" fontId="3" fillId="14" borderId="0" xfId="0" applyFont="1" applyFill="1" applyAlignment="1">
      <alignment vertical="center" wrapText="1"/>
    </xf>
    <xf numFmtId="0" fontId="3" fillId="16" borderId="0" xfId="0" applyFont="1" applyFill="1" applyAlignment="1">
      <alignment vertical="center" wrapText="1"/>
    </xf>
    <xf numFmtId="0" fontId="5" fillId="8" borderId="0" xfId="0" applyFont="1" applyFill="1"/>
    <xf numFmtId="0" fontId="0" fillId="8" borderId="0" xfId="0" applyFill="1"/>
    <xf numFmtId="164" fontId="9" fillId="8" borderId="0" xfId="0" applyNumberFormat="1" applyFont="1" applyFill="1"/>
    <xf numFmtId="0" fontId="9" fillId="8" borderId="0" xfId="0" applyFont="1" applyFill="1"/>
    <xf numFmtId="164" fontId="0" fillId="8" borderId="0" xfId="0" applyNumberFormat="1" applyFill="1"/>
    <xf numFmtId="164" fontId="9" fillId="10" borderId="0" xfId="0" applyNumberFormat="1" applyFont="1" applyFill="1"/>
    <xf numFmtId="0" fontId="9" fillId="10" borderId="0" xfId="0" applyFont="1" applyFill="1"/>
    <xf numFmtId="0" fontId="10" fillId="16" borderId="0" xfId="0" applyFont="1" applyFill="1" applyAlignment="1">
      <alignment vertical="center" wrapText="1"/>
    </xf>
    <xf numFmtId="165" fontId="5" fillId="8" borderId="0" xfId="0" applyNumberFormat="1" applyFont="1" applyFill="1"/>
    <xf numFmtId="0" fontId="12" fillId="0" borderId="0" xfId="1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DDAA9892-9E53-4DFD-A0D5-764B8A49128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624840</xdr:colOff>
      <xdr:row>45</xdr:row>
      <xdr:rowOff>121920</xdr:rowOff>
    </xdr:from>
    <xdr:to>
      <xdr:col>16</xdr:col>
      <xdr:colOff>495300</xdr:colOff>
      <xdr:row>47</xdr:row>
      <xdr:rowOff>182880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A35A18EF-B68B-3C8E-DCED-C08E7C9849AA}"/>
            </a:ext>
          </a:extLst>
        </xdr:cNvPr>
        <xdr:cNvCxnSpPr/>
      </xdr:nvCxnSpPr>
      <xdr:spPr>
        <a:xfrm flipV="1">
          <a:off x="7635240" y="8252460"/>
          <a:ext cx="1889760" cy="42672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487680</xdr:colOff>
      <xdr:row>46</xdr:row>
      <xdr:rowOff>0</xdr:rowOff>
    </xdr:from>
    <xdr:to>
      <xdr:col>13</xdr:col>
      <xdr:colOff>15240</xdr:colOff>
      <xdr:row>47</xdr:row>
      <xdr:rowOff>205740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256CE1C8-2604-E2B8-44C6-1725BEFFB57E}"/>
            </a:ext>
          </a:extLst>
        </xdr:cNvPr>
        <xdr:cNvCxnSpPr/>
      </xdr:nvCxnSpPr>
      <xdr:spPr>
        <a:xfrm flipH="1" flipV="1">
          <a:off x="6454140" y="8313420"/>
          <a:ext cx="571500" cy="38862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274320</xdr:colOff>
      <xdr:row>97</xdr:row>
      <xdr:rowOff>152400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CB43EC3-C23E-9160-8FB9-64D578E9BCE0}"/>
            </a:ext>
          </a:extLst>
        </xdr:cNvPr>
        <xdr:cNvSpPr txBox="1"/>
      </xdr:nvSpPr>
      <xdr:spPr>
        <a:xfrm>
          <a:off x="5715000" y="18417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716280</xdr:colOff>
      <xdr:row>95</xdr:row>
      <xdr:rowOff>15240</xdr:rowOff>
    </xdr:from>
    <xdr:ext cx="4131900" cy="953466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E08173E1-69AF-A345-BE89-4EE0C4DFA635}"/>
            </a:ext>
          </a:extLst>
        </xdr:cNvPr>
        <xdr:cNvSpPr txBox="1"/>
      </xdr:nvSpPr>
      <xdr:spPr>
        <a:xfrm>
          <a:off x="716280" y="17914620"/>
          <a:ext cx="4131900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buNone/>
          </a:pPr>
          <a:r>
            <a:rPr lang="es-MX" sz="1100" b="0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Life expectancy</a:t>
          </a:r>
          <a:endParaRPr lang="es-MX">
            <a:effectLst/>
          </a:endParaRPr>
        </a:p>
        <a:p>
          <a:pPr>
            <a:buNone/>
          </a:pPr>
          <a:r>
            <a:rPr lang="es-MX" sz="1100" b="0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Avoidable mortality </a:t>
          </a:r>
          <a:r>
            <a:rPr lang="es-MX">
              <a:effectLst/>
            </a:rPr>
            <a:t> </a:t>
          </a:r>
        </a:p>
        <a:p>
          <a:pPr>
            <a:buNone/>
          </a:pPr>
          <a:r>
            <a:rPr lang="es-MX" sz="1100" b="0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Years of life at birth</a:t>
          </a:r>
          <a:r>
            <a:rPr lang="es-MX">
              <a:effectLst/>
            </a:rPr>
            <a:t> </a:t>
          </a:r>
          <a:r>
            <a:rPr lang="es-MX" sz="1100" b="0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Deaths per 100 000 population (age‑standardised)</a:t>
          </a:r>
          <a:r>
            <a:rPr lang="es-MX">
              <a:effectLst/>
            </a:rPr>
            <a:t> </a:t>
          </a:r>
        </a:p>
        <a:p>
          <a:pPr>
            <a:buNone/>
          </a:pPr>
          <a:r>
            <a:rPr lang="es-MX" sz="1100" b="0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Practising physicians (per 1 000 population)</a:t>
          </a:r>
          <a:r>
            <a:rPr lang="es-MX">
              <a:effectLst/>
            </a:rPr>
            <a:t> </a:t>
          </a:r>
        </a:p>
        <a:p>
          <a:pPr>
            <a:buNone/>
          </a:pPr>
          <a:r>
            <a:rPr lang="es-MX" sz="1100" b="0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Hospital beds³ Per 1 000 population</a:t>
          </a:r>
          <a:r>
            <a:rPr lang="es-MX">
              <a:effectLst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3</xdr:row>
      <xdr:rowOff>495300</xdr:rowOff>
    </xdr:from>
    <xdr:to>
      <xdr:col>12</xdr:col>
      <xdr:colOff>7620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464D923-4AE4-23E9-8C05-F189370D34BC}"/>
                </a:ext>
              </a:extLst>
            </xdr:cNvPr>
            <xdr:cNvSpPr txBox="1"/>
          </xdr:nvSpPr>
          <xdr:spPr>
            <a:xfrm>
              <a:off x="3566160" y="1043940"/>
              <a:ext cx="5867400" cy="18592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Bef>
                  <a:spcPts val="600"/>
                </a:spcBef>
                <a:spcAft>
                  <a:spcPts val="800"/>
                </a:spcAft>
                <a:buNone/>
              </a:pPr>
              <a:r>
                <a:rPr lang="en-US" sz="1000" kern="10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The negative polarity of Mortality (x2) is reversed using this expression: </a:t>
              </a:r>
              <a14:m>
                <m:oMath xmlns:m="http://schemas.openxmlformats.org/officeDocument/2006/math">
                  <m:d>
                    <m:dPr>
                      <m:ctrlPr>
                        <a:rPr lang="es-MX" sz="1000" b="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dPr>
                    <m:e>
                      <m:r>
                        <a:rPr lang="es-MX" sz="1000" b="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𝑀</m:t>
                      </m:r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𝑎𝑥</m:t>
                      </m:r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⁡(</m:t>
                      </m:r>
                      <m:sSub>
                        <m:sSubPr>
                          <m:ctrlP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  <m:t>𝑗</m:t>
                          </m:r>
                        </m:sub>
                      </m:sSub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)−</m:t>
                      </m:r>
                      <m:sSub>
                        <m:sSubPr>
                          <m:ctrlP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  <m:t>𝑖𝑗</m:t>
                          </m:r>
                        </m:sub>
                      </m:sSub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)+</m:t>
                      </m:r>
                      <m:r>
                        <a:rPr lang="es-MX" sz="1000" b="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𝑀</m:t>
                      </m:r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𝑖𝑛</m:t>
                      </m:r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⁡(</m:t>
                      </m:r>
                      <m:sSub>
                        <m:sSubPr>
                          <m:ctrlP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000" i="1" kern="100">
                              <a:effectLst/>
                              <a:latin typeface="Cambria Math" panose="02040503050406030204" pitchFamily="18" charset="0"/>
                              <a:ea typeface="Aptos" panose="020B0004020202020204" pitchFamily="34" charset="0"/>
                              <a:cs typeface="Times New Roman" panose="02020603050405020304" pitchFamily="18" charset="0"/>
                            </a:rPr>
                            <m:t>𝑗</m:t>
                          </m:r>
                        </m:sub>
                      </m:sSub>
                    </m:e>
                  </m:d>
                </m:oMath>
              </a14:m>
              <a:r>
                <a:rPr lang="en-US" sz="1000" kern="10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. Min and Max are the minimum and maximum raw values of the indicator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𝑥</m:t>
                      </m:r>
                    </m:e>
                    <m:sub>
                      <m:r>
                        <a:rPr lang="es-MX" sz="10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𝑗</m:t>
                      </m:r>
                    </m:sub>
                  </m:sSub>
                </m:oMath>
              </a14:m>
              <a:r>
                <a:rPr lang="en-US" sz="1000" kern="1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. Once</a:t>
              </a:r>
              <a:r>
                <a:rPr lang="en-US" sz="1000" kern="100" baseline="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the negative polarity is reversed [x2(Rev)], Mortality </a:t>
              </a:r>
              <a:r>
                <a:rPr lang="en-US" sz="1000" kern="10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is</a:t>
              </a:r>
              <a:r>
                <a:rPr lang="en-US" sz="1000" kern="100" baseline="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normalized using the formula for positive polarization indicators, scaled from 70 to 130:</a:t>
              </a:r>
            </a:p>
            <a:p>
              <a:pPr>
                <a:lnSpc>
                  <a:spcPct val="107000"/>
                </a:lnSpc>
                <a:spcBef>
                  <a:spcPts val="600"/>
                </a:spcBef>
                <a:spcAft>
                  <a:spcPts val="80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𝑧</m:t>
                      </m:r>
                    </m:e>
                    <m:sub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𝑖𝑗</m:t>
                      </m:r>
                    </m:sub>
                  </m:sSub>
                  <m:r>
                    <a:rPr lang="es-MX" sz="1000" i="1" kern="0">
                      <a:effectLst/>
                      <a:latin typeface="Cambria Math" panose="02040503050406030204" pitchFamily="18" charset="0"/>
                      <a:ea typeface="Times New Roman" panose="02020603050405020304" pitchFamily="18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s-MX" sz="1000" i="1" kern="0">
                              <a:effectLst/>
                              <a:latin typeface="Cambria Math" panose="02040503050406030204" pitchFamily="18" charset="0"/>
                              <a:ea typeface="Times New Roman" panose="02020603050405020304" pitchFamily="18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s-MX" sz="1000" i="1" kern="0">
                              <a:effectLst/>
                              <a:latin typeface="Cambria Math" panose="02040503050406030204" pitchFamily="18" charset="0"/>
                              <a:ea typeface="Times New Roman" panose="02020603050405020304" pitchFamily="18" charset="0"/>
                              <a:cs typeface="Times New Roman" panose="020206030504050203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000" i="1" kern="0">
                              <a:effectLst/>
                              <a:latin typeface="Cambria Math" panose="02040503050406030204" pitchFamily="18" charset="0"/>
                              <a:ea typeface="Times New Roman" panose="02020603050405020304" pitchFamily="18" charset="0"/>
                              <a:cs typeface="Times New Roman" panose="02020603050405020304" pitchFamily="18" charset="0"/>
                            </a:rPr>
                            <m:t>𝑖𝑗</m:t>
                          </m:r>
                        </m:sub>
                      </m:sSub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−</m:t>
                      </m:r>
                      <m:r>
                        <m:rPr>
                          <m:sty m:val="p"/>
                        </m:rPr>
                        <a:rPr lang="es-MX" sz="1000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Min</m:t>
                      </m:r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⁡</m:t>
                      </m:r>
                      <m:d>
                        <m:dPr>
                          <m:ctrlPr>
                            <a:rPr lang="es-MX" sz="1000" i="1" kern="0">
                              <a:effectLst/>
                              <a:latin typeface="Cambria Math" panose="02040503050406030204" pitchFamily="18" charset="0"/>
                              <a:ea typeface="Times New Roman" panose="02020603050405020304" pitchFamily="18" charset="0"/>
                              <a:cs typeface="Times New Roman" panose="020206030504050203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</m:ctrlPr>
                            </m:sSubPr>
                            <m:e>
                              <m: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m:t>𝑥</m:t>
                              </m:r>
                            </m:e>
                            <m:sub>
                              <m: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m:t>𝑖𝑗</m:t>
                              </m:r>
                            </m:sub>
                          </m:sSub>
                        </m:e>
                      </m:d>
                    </m:num>
                    <m:den>
                      <m:r>
                        <m:rPr>
                          <m:sty m:val="p"/>
                        </m:rPr>
                        <a:rPr lang="es-MX" sz="1000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Max</m:t>
                      </m:r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⁡</m:t>
                      </m:r>
                      <m:d>
                        <m:dPr>
                          <m:ctrlPr>
                            <a:rPr lang="es-MX" sz="1000" i="1" kern="0">
                              <a:effectLst/>
                              <a:latin typeface="Cambria Math" panose="02040503050406030204" pitchFamily="18" charset="0"/>
                              <a:ea typeface="Times New Roman" panose="02020603050405020304" pitchFamily="18" charset="0"/>
                              <a:cs typeface="Times New Roman" panose="020206030504050203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</m:ctrlPr>
                            </m:sSubPr>
                            <m:e>
                              <m: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m:t>𝑥</m:t>
                              </m:r>
                            </m:e>
                            <m:sub>
                              <m: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m:t>𝑖𝑗</m:t>
                              </m:r>
                            </m:sub>
                          </m:sSub>
                        </m:e>
                      </m:d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−</m:t>
                      </m:r>
                      <m:r>
                        <m:rPr>
                          <m:sty m:val="p"/>
                        </m:rPr>
                        <a:rPr lang="es-MX" sz="1000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Min</m:t>
                      </m:r>
                      <m:r>
                        <a:rPr lang="es-MX" sz="1000" i="1" kern="0">
                          <a:effectLst/>
                          <a:latin typeface="Cambria Math" panose="02040503050406030204" pitchFamily="18" charset="0"/>
                          <a:ea typeface="Times New Roman" panose="02020603050405020304" pitchFamily="18" charset="0"/>
                          <a:cs typeface="Times New Roman" panose="02020603050405020304" pitchFamily="18" charset="0"/>
                        </a:rPr>
                        <m:t>⁡</m:t>
                      </m:r>
                      <m:d>
                        <m:dPr>
                          <m:ctrlPr>
                            <a:rPr lang="es-MX" sz="1000" i="1" kern="0">
                              <a:effectLst/>
                              <a:latin typeface="Cambria Math" panose="02040503050406030204" pitchFamily="18" charset="0"/>
                              <a:ea typeface="Times New Roman" panose="02020603050405020304" pitchFamily="18" charset="0"/>
                              <a:cs typeface="Times New Roman" panose="020206030504050203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</m:ctrlPr>
                            </m:sSubPr>
                            <m:e>
                              <m: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m:t>𝑥</m:t>
                              </m:r>
                            </m:e>
                            <m:sub>
                              <m:r>
                                <a:rPr lang="es-MX" sz="1000" i="1" kern="0">
                                  <a:effectLst/>
                                  <a:latin typeface="Cambria Math" panose="02040503050406030204" pitchFamily="18" charset="0"/>
                                  <a:ea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m:t>𝑖𝑗</m:t>
                              </m:r>
                            </m:sub>
                          </m:sSub>
                        </m:e>
                      </m:d>
                    </m:den>
                  </m:f>
                  <m:r>
                    <a:rPr lang="es-MX" sz="1000" b="0" i="1" kern="0">
                      <a:effectLst/>
                      <a:latin typeface="Cambria Math" panose="02040503050406030204" pitchFamily="18" charset="0"/>
                      <a:ea typeface="Times New Roman" panose="02020603050405020304" pitchFamily="18" charset="0"/>
                      <a:cs typeface="Times New Roman" panose="02020603050405020304" pitchFamily="18" charset="0"/>
                    </a:rPr>
                    <m:t>∗60+70</m:t>
                  </m:r>
                  <m:r>
                    <a:rPr lang="es-MX" sz="1000" i="1" kern="0">
                      <a:effectLst/>
                      <a:latin typeface="Cambria Math" panose="02040503050406030204" pitchFamily="18" charset="0"/>
                      <a:ea typeface="Times New Roman" panose="02020603050405020304" pitchFamily="18" charset="0"/>
                      <a:cs typeface="Times New Roman" panose="02020603050405020304" pitchFamily="18" charset="0"/>
                    </a:rPr>
                    <m:t>,</m:t>
                  </m:r>
                </m:oMath>
              </a14:m>
              <a:endParaRPr lang="es-MX" sz="1000" kern="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Bef>
                  <a:spcPts val="600"/>
                </a:spcBef>
                <a:spcAft>
                  <a:spcPts val="800"/>
                </a:spcAft>
                <a:buNone/>
              </a:pPr>
              <a:r>
                <a:rPr lang="en-US" sz="1000" kern="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Where </a:t>
              </a:r>
              <a:r>
                <a:rPr lang="en-US" sz="1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Min and Max are the minimum and maximum values of the previously reversed indicator [x2(Rev)].</a:t>
              </a:r>
              <a:r>
                <a:rPr lang="en-US" sz="1000" kern="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endParaRPr lang="es-MX" sz="1000" kern="100">
                <a:effectLst/>
                <a:latin typeface="Times New Roman" panose="02020603050405020304" pitchFamily="18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464D923-4AE4-23E9-8C05-F189370D34BC}"/>
                </a:ext>
              </a:extLst>
            </xdr:cNvPr>
            <xdr:cNvSpPr txBox="1"/>
          </xdr:nvSpPr>
          <xdr:spPr>
            <a:xfrm>
              <a:off x="3566160" y="1043940"/>
              <a:ext cx="5867400" cy="18592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Bef>
                  <a:spcPts val="600"/>
                </a:spcBef>
                <a:spcAft>
                  <a:spcPts val="800"/>
                </a:spcAft>
                <a:buNone/>
              </a:pPr>
              <a:r>
                <a:rPr lang="en-US" sz="1000" kern="10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The negative polarity of Mortality (x2) is reversed using this expression: </a:t>
              </a:r>
              <a:r>
                <a:rPr lang="es-MX" sz="10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MX" sz="1000" b="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𝑀</a:t>
              </a:r>
              <a:r>
                <a:rPr lang="es-MX" sz="10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𝑎𝑥⁡(𝑥_𝑗)−𝑥_𝑖𝑗)+</a:t>
              </a:r>
              <a:r>
                <a:rPr lang="es-MX" sz="1000" b="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𝑀</a:t>
              </a:r>
              <a:r>
                <a:rPr lang="es-MX" sz="10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𝑖𝑛⁡(𝑥_𝑗 )</a:t>
              </a:r>
              <a:r>
                <a:rPr lang="en-US" sz="1000" kern="10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. Min and Max are the minimum and maximum raw values of the indicator </a:t>
              </a:r>
              <a:r>
                <a:rPr lang="es-MX" sz="10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𝑥_𝑗</a:t>
              </a:r>
              <a:r>
                <a:rPr lang="en-US" sz="1000" kern="1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. Once</a:t>
              </a:r>
              <a:r>
                <a:rPr lang="en-US" sz="1000" kern="100" baseline="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the negative polarity is reversed [x2(Rev)], Mortality </a:t>
              </a:r>
              <a:r>
                <a:rPr lang="en-US" sz="1000" kern="10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is</a:t>
              </a:r>
              <a:r>
                <a:rPr lang="en-US" sz="1000" kern="100" baseline="0">
                  <a:effectLst/>
                  <a:latin typeface="Times New Roman" panose="020206030504050203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normalized using the formula for positive polarization indicators, scaled from 70 to 130:</a:t>
              </a:r>
            </a:p>
            <a:p>
              <a:pPr>
                <a:lnSpc>
                  <a:spcPct val="107000"/>
                </a:lnSpc>
                <a:spcBef>
                  <a:spcPts val="600"/>
                </a:spcBef>
                <a:spcAft>
                  <a:spcPts val="80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 </a:t>
              </a:r>
              <a:r>
                <a:rPr lang="es-MX" sz="1000" i="0" kern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𝑧_𝑖𝑗=</a:t>
              </a:r>
              <a:r>
                <a:rPr lang="es-MX" sz="1000" i="0" kern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MX" sz="1000" i="0" kern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𝑥_𝑖𝑗−Min⁡(𝑥_𝑖𝑗 ))/(Max⁡(𝑥_𝑖𝑗 )−Min⁡(𝑥_𝑖𝑗 ) )</a:t>
              </a:r>
              <a:r>
                <a:rPr lang="es-MX" sz="1000" b="0" i="0" kern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∗60+70</a:t>
              </a:r>
              <a:r>
                <a:rPr lang="es-MX" sz="1000" i="0" kern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,</a:t>
              </a:r>
              <a:endParaRPr lang="es-MX" sz="1000" kern="0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Bef>
                  <a:spcPts val="600"/>
                </a:spcBef>
                <a:spcAft>
                  <a:spcPts val="800"/>
                </a:spcAft>
                <a:buNone/>
              </a:pPr>
              <a:r>
                <a:rPr lang="en-US" sz="1000" kern="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Where </a:t>
              </a:r>
              <a:r>
                <a:rPr lang="en-US" sz="1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Min and Max are the minimum and maximum values of the previously reversed indicator [x2(Rev)].</a:t>
              </a:r>
              <a:r>
                <a:rPr lang="en-US" sz="1000" kern="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endParaRPr lang="es-MX" sz="1000" kern="100">
                <a:effectLst/>
                <a:latin typeface="Times New Roman" panose="02020603050405020304" pitchFamily="18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oecd.org/content/dam/oecd/en/publications/reports/2025/11/health-at-a-glance-2025_a894f72e/8f9e3f98-en.pdf" TargetMode="External"/><Relationship Id="rId1" Type="http://schemas.openxmlformats.org/officeDocument/2006/relationships/hyperlink" Target="https://www.oecd.org/en/publications/health-at-a-glance-2025_8f9e3f98-en/full-report/indicator-overview-country-dashboards-and-major-trends_368ac397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2955-36AA-47A0-9D91-743C314A5CEA}">
  <dimension ref="A1:AA104"/>
  <sheetViews>
    <sheetView tabSelected="1" topLeftCell="F1" workbookViewId="0">
      <selection activeCell="L9" sqref="L9"/>
    </sheetView>
  </sheetViews>
  <sheetFormatPr defaultColWidth="11.5546875" defaultRowHeight="14.4" x14ac:dyDescent="0.3"/>
  <cols>
    <col min="1" max="1" width="11.109375" bestFit="1" customWidth="1"/>
    <col min="2" max="5" width="9.5546875" bestFit="1" customWidth="1"/>
    <col min="6" max="6" width="6.5546875" bestFit="1" customWidth="1"/>
    <col min="7" max="7" width="7" customWidth="1"/>
    <col min="8" max="8" width="6.5546875" bestFit="1" customWidth="1"/>
    <col min="9" max="9" width="6.33203125" bestFit="1" customWidth="1"/>
    <col min="10" max="10" width="6" customWidth="1"/>
    <col min="11" max="12" width="7.6640625" bestFit="1" customWidth="1"/>
    <col min="13" max="13" width="7.5546875" bestFit="1" customWidth="1"/>
    <col min="14" max="14" width="9.33203125" customWidth="1"/>
    <col min="15" max="15" width="8.5546875" customWidth="1"/>
    <col min="17" max="17" width="12.44140625" customWidth="1"/>
    <col min="18" max="18" width="11.88671875" customWidth="1"/>
    <col min="19" max="19" width="7.21875" customWidth="1"/>
    <col min="21" max="21" width="12.88671875" customWidth="1"/>
    <col min="22" max="22" width="13.6640625" customWidth="1"/>
    <col min="23" max="23" width="14.33203125" customWidth="1"/>
    <col min="24" max="25" width="7.109375" customWidth="1"/>
    <col min="26" max="27" width="7.5546875" customWidth="1"/>
  </cols>
  <sheetData>
    <row r="1" spans="1:27" x14ac:dyDescent="0.3">
      <c r="A1" t="s">
        <v>118</v>
      </c>
    </row>
    <row r="3" spans="1:27" ht="15.6" x14ac:dyDescent="0.3">
      <c r="A3" s="35" t="s">
        <v>110</v>
      </c>
      <c r="B3" s="26"/>
      <c r="C3" s="26"/>
      <c r="D3" s="26"/>
      <c r="E3" s="26"/>
      <c r="F3" s="26"/>
      <c r="G3" s="26"/>
      <c r="H3" s="26"/>
      <c r="I3" s="26"/>
      <c r="K3" s="35" t="s">
        <v>109</v>
      </c>
      <c r="L3" s="26"/>
      <c r="M3" s="26"/>
      <c r="N3" s="26"/>
      <c r="O3" s="26"/>
      <c r="P3" s="26"/>
      <c r="Q3" s="26"/>
      <c r="R3" s="26"/>
      <c r="S3" s="26"/>
      <c r="T3" s="35" t="s">
        <v>111</v>
      </c>
      <c r="U3" s="26"/>
      <c r="V3" s="26"/>
      <c r="W3" s="26"/>
      <c r="X3" s="26"/>
      <c r="Y3" s="26"/>
      <c r="Z3" s="26"/>
      <c r="AA3" s="26"/>
    </row>
    <row r="4" spans="1:27" ht="21" customHeight="1" x14ac:dyDescent="0.3">
      <c r="A4" s="63" t="s">
        <v>0</v>
      </c>
      <c r="B4" s="1" t="s">
        <v>43</v>
      </c>
      <c r="C4" s="1" t="s">
        <v>44</v>
      </c>
      <c r="D4" s="1" t="s">
        <v>45</v>
      </c>
      <c r="E4" s="2" t="s">
        <v>46</v>
      </c>
      <c r="F4" s="61" t="s">
        <v>57</v>
      </c>
      <c r="G4" s="62"/>
      <c r="H4" s="62"/>
      <c r="I4" s="62"/>
      <c r="J4" s="27"/>
      <c r="K4" s="61" t="s">
        <v>59</v>
      </c>
      <c r="L4" s="62"/>
      <c r="M4" s="62"/>
      <c r="N4" s="33"/>
      <c r="O4" s="61" t="s">
        <v>58</v>
      </c>
      <c r="P4" s="62"/>
      <c r="Q4" s="62"/>
      <c r="R4" s="62"/>
      <c r="S4" s="27"/>
      <c r="T4" s="61" t="s">
        <v>60</v>
      </c>
      <c r="U4" s="62"/>
      <c r="V4" s="62"/>
      <c r="W4" s="62"/>
      <c r="X4" s="61" t="s">
        <v>61</v>
      </c>
      <c r="Y4" s="62"/>
      <c r="Z4" s="62"/>
      <c r="AA4" s="62"/>
    </row>
    <row r="5" spans="1:27" ht="27.6" x14ac:dyDescent="0.3">
      <c r="A5" s="62"/>
      <c r="B5" s="1" t="s">
        <v>1</v>
      </c>
      <c r="C5" s="1" t="s">
        <v>2</v>
      </c>
      <c r="D5" s="1" t="s">
        <v>3</v>
      </c>
      <c r="E5" s="2" t="s">
        <v>4</v>
      </c>
      <c r="F5" s="1" t="s">
        <v>47</v>
      </c>
      <c r="G5" s="1" t="s">
        <v>64</v>
      </c>
      <c r="H5" s="1" t="s">
        <v>48</v>
      </c>
      <c r="I5" s="1" t="s">
        <v>49</v>
      </c>
      <c r="J5" s="28"/>
      <c r="K5" s="8" t="s">
        <v>42</v>
      </c>
      <c r="L5" s="25" t="s">
        <v>40</v>
      </c>
      <c r="M5" s="8" t="s">
        <v>41</v>
      </c>
      <c r="N5" s="34" t="s">
        <v>53</v>
      </c>
      <c r="O5" s="1" t="s">
        <v>73</v>
      </c>
      <c r="P5" s="1" t="s">
        <v>74</v>
      </c>
      <c r="Q5" s="1" t="s">
        <v>75</v>
      </c>
      <c r="R5" s="1" t="s">
        <v>76</v>
      </c>
      <c r="S5" s="28"/>
      <c r="T5" s="15" t="s">
        <v>65</v>
      </c>
      <c r="U5" s="15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s="1" t="s">
        <v>72</v>
      </c>
      <c r="AA5" s="2" t="s">
        <v>71</v>
      </c>
    </row>
    <row r="6" spans="1:27" x14ac:dyDescent="0.3">
      <c r="A6" s="3" t="s">
        <v>5</v>
      </c>
      <c r="B6" s="11">
        <v>83</v>
      </c>
      <c r="C6" s="11">
        <v>146</v>
      </c>
      <c r="D6" s="11">
        <v>4.2</v>
      </c>
      <c r="E6" s="12">
        <v>3.8</v>
      </c>
      <c r="F6" s="41">
        <f>((B6-B$43)/(B$42-B$43))*60+70</f>
        <v>121.13636363636365</v>
      </c>
      <c r="G6" s="4">
        <f>'z2(Rev)'!D5</f>
        <v>123.70491803278688</v>
      </c>
      <c r="H6" s="41">
        <f>((D6-D$43)/(D$42-D$43))*60+70</f>
        <v>95.714285714285722</v>
      </c>
      <c r="I6" s="41">
        <f>((E6-E$43)/(E$42-E$43))*60+70</f>
        <v>84.482758620689651</v>
      </c>
      <c r="J6" s="6"/>
      <c r="K6" s="9">
        <f>AVERAGE(F6:I6)</f>
        <v>106.25958150103148</v>
      </c>
      <c r="L6" s="10">
        <f>GEOMEAN(F6:I6)</f>
        <v>104.91838257833425</v>
      </c>
      <c r="M6" s="9">
        <f>TOPSIS!H4</f>
        <v>0.57908484752246792</v>
      </c>
      <c r="N6" s="9">
        <f>_xlfn.STDEV.P(F6:I6)/AVERAGE(F6:I6)</f>
        <v>0.1568472299887208</v>
      </c>
      <c r="O6" s="9">
        <f>1-N6</f>
        <v>0.8431527700112792</v>
      </c>
      <c r="P6" s="9">
        <f>1-N6^2</f>
        <v>0.97539894644486536</v>
      </c>
      <c r="Q6" s="9">
        <f>1/(1+N6)</f>
        <v>0.86441837269191524</v>
      </c>
      <c r="R6" s="9">
        <f>EXP(-N6)</f>
        <v>0.85483464194072967</v>
      </c>
      <c r="S6" s="29"/>
      <c r="T6" s="45">
        <f>$K6*O6</f>
        <v>89.593060482833977</v>
      </c>
      <c r="U6" s="45">
        <f t="shared" ref="U6:W6" si="0">$K6*P6</f>
        <v>103.6454838457784</v>
      </c>
      <c r="V6" s="45">
        <f t="shared" si="0"/>
        <v>91.852734524045573</v>
      </c>
      <c r="W6" s="45">
        <f t="shared" si="0"/>
        <v>90.83437130520602</v>
      </c>
      <c r="X6" s="16">
        <f>RANK(T6,T$6:T$40)</f>
        <v>11</v>
      </c>
      <c r="Y6" s="16">
        <f>RANK(U6,U$6:U$40)</f>
        <v>12</v>
      </c>
      <c r="Z6" s="16">
        <f>RANK(V6,V$6:V$40)</f>
        <v>11</v>
      </c>
      <c r="AA6" s="16">
        <f>RANK(W6,W$6:W$40)</f>
        <v>11</v>
      </c>
    </row>
    <row r="7" spans="1:27" x14ac:dyDescent="0.3">
      <c r="A7" s="5" t="s">
        <v>6</v>
      </c>
      <c r="B7" s="13">
        <v>81.900000000000006</v>
      </c>
      <c r="C7" s="13">
        <v>175</v>
      </c>
      <c r="D7" s="13">
        <v>5.5</v>
      </c>
      <c r="E7" s="14">
        <v>6.6</v>
      </c>
      <c r="F7" s="6">
        <f>((B7-B$43)/(B$42-B$43))*60+70</f>
        <v>113.63636363636368</v>
      </c>
      <c r="G7" s="6">
        <f>'z2(Rev)'!D6</f>
        <v>118</v>
      </c>
      <c r="H7" s="6">
        <f>((D7-D$43)/(D$42-D$43))*60+70</f>
        <v>114.28571428571429</v>
      </c>
      <c r="I7" s="6">
        <f>((E7-E$43)/(E$42-E$43))*60+70</f>
        <v>98.965517241379303</v>
      </c>
      <c r="J7" s="6"/>
      <c r="K7" s="9">
        <f t="shared" ref="K7:K40" si="1">AVERAGE(F7:I7)</f>
        <v>111.22189879086432</v>
      </c>
      <c r="L7" s="10">
        <f t="shared" ref="L7:L40" si="2">GEOMEAN(F7:I7)</f>
        <v>110.9733752397658</v>
      </c>
      <c r="M7" s="9">
        <f>TOPSIS!H5</f>
        <v>0.67519335993856289</v>
      </c>
      <c r="N7" s="9">
        <f t="shared" ref="N7:N40" si="3">_xlfn.STDEV.P(F7:I7)/AVERAGE(F7:I7)</f>
        <v>6.5359654244638979E-2</v>
      </c>
      <c r="O7" s="9">
        <f t="shared" ref="O7:O40" si="4">1-N7</f>
        <v>0.93464034575536103</v>
      </c>
      <c r="P7" s="9">
        <f t="shared" ref="P7:P40" si="5">1-N7^2</f>
        <v>0.99572811559702123</v>
      </c>
      <c r="Q7" s="9">
        <f t="shared" ref="Q7:Q40" si="6">1/(1+N7)</f>
        <v>0.93865015069396418</v>
      </c>
      <c r="R7" s="9">
        <f t="shared" ref="R7:R40" si="7">EXP(-N7)</f>
        <v>0.9367305036848107</v>
      </c>
      <c r="S7" s="29"/>
      <c r="T7" s="45">
        <f t="shared" ref="T7:T40" si="8">$K7*O7</f>
        <v>103.95247394146119</v>
      </c>
      <c r="U7" s="45">
        <f t="shared" ref="U7:U40" si="9">$K7*P7</f>
        <v>110.74677169614993</v>
      </c>
      <c r="V7" s="45">
        <f t="shared" ref="V7:V40" si="10">$K7*Q7</f>
        <v>104.39845206051362</v>
      </c>
      <c r="W7" s="45">
        <f t="shared" ref="W7:W40" si="11">$K7*R7</f>
        <v>104.18494527514737</v>
      </c>
      <c r="X7" s="16">
        <f t="shared" ref="X7:X40" si="12">RANK(T7,T$6:T$40)</f>
        <v>1</v>
      </c>
      <c r="Y7" s="16">
        <f t="shared" ref="Y7:Y40" si="13">RANK(U7,U$6:U$40)</f>
        <v>1</v>
      </c>
      <c r="Z7" s="16">
        <f t="shared" ref="Z7:Z40" si="14">RANK(V7,V$6:V$40)</f>
        <v>1</v>
      </c>
      <c r="AA7" s="16">
        <f t="shared" ref="AA7:AA40" si="15">RANK(W7,W$6:W$40)</f>
        <v>1</v>
      </c>
    </row>
    <row r="8" spans="1:27" x14ac:dyDescent="0.3">
      <c r="A8" s="3" t="s">
        <v>7</v>
      </c>
      <c r="B8" s="11">
        <v>82.5</v>
      </c>
      <c r="C8" s="11">
        <v>184</v>
      </c>
      <c r="D8" s="11">
        <v>3.4</v>
      </c>
      <c r="E8" s="12">
        <v>5.4</v>
      </c>
      <c r="F8" s="41">
        <f>((B8-B$43)/(B$42-B$43))*60+70</f>
        <v>117.72727272727275</v>
      </c>
      <c r="G8" s="4">
        <f>'z2(Rev)'!D7</f>
        <v>116.22950819672131</v>
      </c>
      <c r="H8" s="41">
        <f t="shared" ref="H8:H40" si="16">((D8-D$43)/(D$42-D$43))*60+70</f>
        <v>84.285714285714292</v>
      </c>
      <c r="I8" s="41">
        <f t="shared" ref="I8:I40" si="17">((E8-E$43)/(E$42-E$43))*60+70</f>
        <v>92.758620689655174</v>
      </c>
      <c r="J8" s="6"/>
      <c r="K8" s="9">
        <f t="shared" si="1"/>
        <v>102.75027897484088</v>
      </c>
      <c r="L8" s="10">
        <f t="shared" si="2"/>
        <v>101.70104942035539</v>
      </c>
      <c r="M8" s="9">
        <f>TOPSIS!H6</f>
        <v>0.53706103668035221</v>
      </c>
      <c r="N8" s="9">
        <f t="shared" si="3"/>
        <v>0.14160239029094285</v>
      </c>
      <c r="O8" s="9">
        <f t="shared" si="4"/>
        <v>0.8583976097090571</v>
      </c>
      <c r="P8" s="9">
        <f t="shared" si="5"/>
        <v>0.97994876306389145</v>
      </c>
      <c r="Q8" s="9">
        <f t="shared" si="6"/>
        <v>0.8759617258204454</v>
      </c>
      <c r="R8" s="9">
        <f t="shared" si="7"/>
        <v>0.86796629971299999</v>
      </c>
      <c r="S8" s="29"/>
      <c r="T8" s="45">
        <f t="shared" si="8"/>
        <v>88.200593868942192</v>
      </c>
      <c r="U8" s="45">
        <f t="shared" si="9"/>
        <v>100.69000878586509</v>
      </c>
      <c r="V8" s="45">
        <f t="shared" si="10"/>
        <v>90.005311699333845</v>
      </c>
      <c r="W8" s="45">
        <f t="shared" si="11"/>
        <v>89.183779436271095</v>
      </c>
      <c r="X8" s="16">
        <f t="shared" si="12"/>
        <v>15</v>
      </c>
      <c r="Y8" s="16">
        <f t="shared" si="13"/>
        <v>15</v>
      </c>
      <c r="Z8" s="16">
        <f t="shared" si="14"/>
        <v>14</v>
      </c>
      <c r="AA8" s="16">
        <f t="shared" si="15"/>
        <v>15</v>
      </c>
    </row>
    <row r="9" spans="1:27" x14ac:dyDescent="0.3">
      <c r="A9" s="5" t="s">
        <v>8</v>
      </c>
      <c r="B9" s="13">
        <v>81.7</v>
      </c>
      <c r="C9" s="13">
        <v>184</v>
      </c>
      <c r="D9" s="13">
        <v>2.7</v>
      </c>
      <c r="E9" s="14">
        <v>2.5</v>
      </c>
      <c r="F9" s="6">
        <f t="shared" ref="F9:F40" si="18">((B9-B$43)/(B$42-B$43))*60+70</f>
        <v>112.27272727272731</v>
      </c>
      <c r="G9" s="6">
        <f>'z2(Rev)'!D8</f>
        <v>116.22950819672131</v>
      </c>
      <c r="H9" s="6">
        <f t="shared" si="16"/>
        <v>74.285714285714292</v>
      </c>
      <c r="I9" s="6">
        <f t="shared" si="17"/>
        <v>77.758620689655174</v>
      </c>
      <c r="J9" s="6"/>
      <c r="K9" s="9">
        <f t="shared" si="1"/>
        <v>95.136642611204522</v>
      </c>
      <c r="L9" s="10">
        <f t="shared" si="2"/>
        <v>93.177516565547833</v>
      </c>
      <c r="M9" s="9">
        <f>TOPSIS!H7</f>
        <v>0.44281967320090698</v>
      </c>
      <c r="N9" s="9">
        <f t="shared" si="3"/>
        <v>0.20186638604188056</v>
      </c>
      <c r="O9" s="9">
        <f t="shared" si="4"/>
        <v>0.79813361395811944</v>
      </c>
      <c r="P9" s="9">
        <f t="shared" si="5"/>
        <v>0.95924996218639047</v>
      </c>
      <c r="Q9" s="9">
        <f t="shared" si="6"/>
        <v>0.83203924463958989</v>
      </c>
      <c r="R9" s="9">
        <f t="shared" si="7"/>
        <v>0.81720411052371433</v>
      </c>
      <c r="S9" s="29"/>
      <c r="T9" s="45">
        <f t="shared" si="8"/>
        <v>75.931752387122685</v>
      </c>
      <c r="U9" s="45">
        <f t="shared" si="9"/>
        <v>91.259820827338075</v>
      </c>
      <c r="V9" s="45">
        <f t="shared" si="10"/>
        <v>79.157420255773232</v>
      </c>
      <c r="W9" s="45">
        <f t="shared" si="11"/>
        <v>77.746055403301895</v>
      </c>
      <c r="X9" s="16">
        <f t="shared" si="12"/>
        <v>31</v>
      </c>
      <c r="Y9" s="16">
        <f t="shared" si="13"/>
        <v>27</v>
      </c>
      <c r="Z9" s="16">
        <f t="shared" si="14"/>
        <v>29</v>
      </c>
      <c r="AA9" s="16">
        <f t="shared" si="15"/>
        <v>29</v>
      </c>
    </row>
    <row r="10" spans="1:27" x14ac:dyDescent="0.3">
      <c r="A10" s="3" t="s">
        <v>9</v>
      </c>
      <c r="B10" s="11">
        <v>81.599999999999994</v>
      </c>
      <c r="C10" s="11">
        <v>229</v>
      </c>
      <c r="D10" s="11">
        <v>3.3</v>
      </c>
      <c r="E10" s="12">
        <v>1.9</v>
      </c>
      <c r="F10" s="41">
        <f t="shared" si="18"/>
        <v>111.59090909090907</v>
      </c>
      <c r="G10" s="4">
        <f>'z2(Rev)'!D9</f>
        <v>107.37704918032787</v>
      </c>
      <c r="H10" s="41">
        <f t="shared" si="16"/>
        <v>82.857142857142861</v>
      </c>
      <c r="I10" s="41">
        <f t="shared" si="17"/>
        <v>74.65517241379311</v>
      </c>
      <c r="J10" s="6"/>
      <c r="K10" s="9">
        <f t="shared" si="1"/>
        <v>94.12006838554322</v>
      </c>
      <c r="L10" s="10">
        <f t="shared" si="2"/>
        <v>92.786017418070415</v>
      </c>
      <c r="M10" s="9">
        <f>TOPSIS!H8</f>
        <v>0.42359061549448751</v>
      </c>
      <c r="N10" s="9">
        <f t="shared" si="3"/>
        <v>0.16687193474676815</v>
      </c>
      <c r="O10" s="9">
        <f t="shared" si="4"/>
        <v>0.8331280652532318</v>
      </c>
      <c r="P10" s="9">
        <f t="shared" si="5"/>
        <v>0.97215375739387033</v>
      </c>
      <c r="Q10" s="9">
        <f t="shared" si="6"/>
        <v>0.85699207447046677</v>
      </c>
      <c r="R10" s="9">
        <f t="shared" si="7"/>
        <v>0.8463079870441319</v>
      </c>
      <c r="S10" s="29"/>
      <c r="T10" s="45">
        <f t="shared" si="8"/>
        <v>78.414070475549494</v>
      </c>
      <c r="U10" s="45">
        <f t="shared" si="9"/>
        <v>91.499178127173863</v>
      </c>
      <c r="V10" s="45">
        <f t="shared" si="10"/>
        <v>80.660152655028881</v>
      </c>
      <c r="W10" s="45">
        <f t="shared" si="11"/>
        <v>79.654565615825121</v>
      </c>
      <c r="X10" s="16">
        <f t="shared" si="12"/>
        <v>27</v>
      </c>
      <c r="Y10" s="16">
        <f t="shared" si="13"/>
        <v>26</v>
      </c>
      <c r="Z10" s="16">
        <f t="shared" si="14"/>
        <v>27</v>
      </c>
      <c r="AA10" s="16">
        <f t="shared" si="15"/>
        <v>27</v>
      </c>
    </row>
    <row r="11" spans="1:27" x14ac:dyDescent="0.3">
      <c r="A11" s="5" t="s">
        <v>10</v>
      </c>
      <c r="B11" s="13">
        <v>77.5</v>
      </c>
      <c r="C11" s="13">
        <v>419</v>
      </c>
      <c r="D11" s="13">
        <v>2.5</v>
      </c>
      <c r="E11" s="14">
        <v>1.9</v>
      </c>
      <c r="F11" s="6">
        <f t="shared" si="18"/>
        <v>83.63636363636364</v>
      </c>
      <c r="G11" s="7">
        <f>'z2(Rev)'!D10</f>
        <v>70</v>
      </c>
      <c r="H11" s="6">
        <f t="shared" si="16"/>
        <v>71.428571428571431</v>
      </c>
      <c r="I11" s="6">
        <f t="shared" si="17"/>
        <v>74.65517241379311</v>
      </c>
      <c r="J11" s="6"/>
      <c r="K11" s="9">
        <f t="shared" si="1"/>
        <v>74.930026869682052</v>
      </c>
      <c r="L11" s="10">
        <f t="shared" si="2"/>
        <v>74.74915065847145</v>
      </c>
      <c r="M11" s="9">
        <f>TOPSIS!H9</f>
        <v>0.1157182927192974</v>
      </c>
      <c r="N11" s="9">
        <f t="shared" si="3"/>
        <v>7.075821229707023E-2</v>
      </c>
      <c r="O11" s="9">
        <f t="shared" si="4"/>
        <v>0.92924178770292976</v>
      </c>
      <c r="P11" s="9">
        <f t="shared" si="5"/>
        <v>0.99499327539252269</v>
      </c>
      <c r="Q11" s="9">
        <f t="shared" si="6"/>
        <v>0.93391765621365219</v>
      </c>
      <c r="R11" s="9">
        <f t="shared" si="7"/>
        <v>0.93168713538828418</v>
      </c>
      <c r="S11" s="29"/>
      <c r="T11" s="45">
        <f t="shared" si="8"/>
        <v>69.62811212101191</v>
      </c>
      <c r="U11" s="45">
        <f t="shared" si="9"/>
        <v>74.554872860314674</v>
      </c>
      <c r="V11" s="45">
        <f t="shared" si="10"/>
        <v>69.978475074159448</v>
      </c>
      <c r="W11" s="45">
        <f t="shared" si="11"/>
        <v>69.811342088781231</v>
      </c>
      <c r="X11" s="16">
        <f t="shared" si="12"/>
        <v>34</v>
      </c>
      <c r="Y11" s="16">
        <f t="shared" si="13"/>
        <v>34</v>
      </c>
      <c r="Z11" s="16">
        <f t="shared" si="14"/>
        <v>34</v>
      </c>
      <c r="AA11" s="16">
        <f t="shared" si="15"/>
        <v>34</v>
      </c>
    </row>
    <row r="12" spans="1:27" x14ac:dyDescent="0.3">
      <c r="A12" s="3" t="s">
        <v>11</v>
      </c>
      <c r="B12" s="11">
        <v>79.900000000000006</v>
      </c>
      <c r="C12" s="11">
        <v>229</v>
      </c>
      <c r="D12" s="11">
        <v>4.2</v>
      </c>
      <c r="E12" s="12">
        <v>6.4</v>
      </c>
      <c r="F12" s="41">
        <f t="shared" si="18"/>
        <v>100.00000000000004</v>
      </c>
      <c r="G12" s="4">
        <f>'z2(Rev)'!D11</f>
        <v>107.37704918032787</v>
      </c>
      <c r="H12" s="41">
        <f t="shared" si="16"/>
        <v>95.714285714285722</v>
      </c>
      <c r="I12" s="41">
        <f t="shared" si="17"/>
        <v>97.931034482758619</v>
      </c>
      <c r="J12" s="6"/>
      <c r="K12" s="9">
        <f t="shared" si="1"/>
        <v>100.25559234434306</v>
      </c>
      <c r="L12" s="10">
        <f t="shared" si="2"/>
        <v>100.16180503807102</v>
      </c>
      <c r="M12" s="9">
        <f>TOPSIS!H10</f>
        <v>0.50417087863573207</v>
      </c>
      <c r="N12" s="9">
        <f t="shared" si="3"/>
        <v>4.3708232067910566E-2</v>
      </c>
      <c r="O12" s="9">
        <f t="shared" si="4"/>
        <v>0.95629176793208948</v>
      </c>
      <c r="P12" s="9">
        <f t="shared" si="5"/>
        <v>0.99808959044949763</v>
      </c>
      <c r="Q12" s="9">
        <f t="shared" si="6"/>
        <v>0.95812217368324204</v>
      </c>
      <c r="R12" s="9">
        <f t="shared" si="7"/>
        <v>0.95723320668632517</v>
      </c>
      <c r="S12" s="29"/>
      <c r="T12" s="45">
        <f t="shared" si="8"/>
        <v>95.873597648050676</v>
      </c>
      <c r="U12" s="45">
        <f t="shared" si="9"/>
        <v>100.06406310323715</v>
      </c>
      <c r="V12" s="45">
        <f t="shared" si="10"/>
        <v>96.057106060862964</v>
      </c>
      <c r="W12" s="45">
        <f t="shared" si="11"/>
        <v>95.967982148012496</v>
      </c>
      <c r="X12" s="16">
        <f t="shared" si="12"/>
        <v>3</v>
      </c>
      <c r="Y12" s="16">
        <f t="shared" si="13"/>
        <v>17</v>
      </c>
      <c r="Z12" s="16">
        <f t="shared" si="14"/>
        <v>4</v>
      </c>
      <c r="AA12" s="16">
        <f t="shared" si="15"/>
        <v>3</v>
      </c>
    </row>
    <row r="13" spans="1:27" x14ac:dyDescent="0.3">
      <c r="A13" s="5" t="s">
        <v>12</v>
      </c>
      <c r="B13" s="13">
        <v>81.8</v>
      </c>
      <c r="C13" s="13">
        <v>175</v>
      </c>
      <c r="D13" s="13">
        <v>4.5</v>
      </c>
      <c r="E13" s="14">
        <v>2.2999999999999998</v>
      </c>
      <c r="F13" s="6">
        <f t="shared" si="18"/>
        <v>112.95454545454545</v>
      </c>
      <c r="G13" s="6">
        <f>'z2(Rev)'!D12</f>
        <v>118</v>
      </c>
      <c r="H13" s="6">
        <f t="shared" si="16"/>
        <v>100</v>
      </c>
      <c r="I13" s="6">
        <f t="shared" si="17"/>
        <v>76.724137931034477</v>
      </c>
      <c r="J13" s="6"/>
      <c r="K13" s="9">
        <f t="shared" si="1"/>
        <v>101.91967084639498</v>
      </c>
      <c r="L13" s="10">
        <f t="shared" si="2"/>
        <v>100.56096545887196</v>
      </c>
      <c r="M13" s="9">
        <f>TOPSIS!H11</f>
        <v>0.52491943571212352</v>
      </c>
      <c r="N13" s="9">
        <f t="shared" si="3"/>
        <v>0.1565907661002178</v>
      </c>
      <c r="O13" s="9">
        <f t="shared" si="4"/>
        <v>0.84340923389978217</v>
      </c>
      <c r="P13" s="9">
        <f t="shared" si="5"/>
        <v>0.97547933197214687</v>
      </c>
      <c r="Q13" s="9">
        <f t="shared" si="6"/>
        <v>0.86461004990709978</v>
      </c>
      <c r="R13" s="9">
        <f t="shared" si="7"/>
        <v>0.85505390427226213</v>
      </c>
      <c r="S13" s="29"/>
      <c r="T13" s="45">
        <f t="shared" si="8"/>
        <v>85.959991507875955</v>
      </c>
      <c r="U13" s="45">
        <f t="shared" si="9"/>
        <v>99.420532432062473</v>
      </c>
      <c r="V13" s="45">
        <f t="shared" si="10"/>
        <v>88.12077169701675</v>
      </c>
      <c r="W13" s="45">
        <f t="shared" si="11"/>
        <v>87.146812479353883</v>
      </c>
      <c r="X13" s="16">
        <f t="shared" si="12"/>
        <v>18</v>
      </c>
      <c r="Y13" s="16">
        <f t="shared" si="13"/>
        <v>18</v>
      </c>
      <c r="Z13" s="16">
        <f t="shared" si="14"/>
        <v>19</v>
      </c>
      <c r="AA13" s="16">
        <f t="shared" si="15"/>
        <v>19</v>
      </c>
    </row>
    <row r="14" spans="1:27" x14ac:dyDescent="0.3">
      <c r="A14" s="3" t="s">
        <v>13</v>
      </c>
      <c r="B14" s="11">
        <v>79.099999999999994</v>
      </c>
      <c r="C14" s="11">
        <v>323</v>
      </c>
      <c r="D14" s="11">
        <v>3.5</v>
      </c>
      <c r="E14" s="12">
        <v>4.0999999999999996</v>
      </c>
      <c r="F14" s="41">
        <f t="shared" si="18"/>
        <v>94.545454545454518</v>
      </c>
      <c r="G14" s="4">
        <f>'z2(Rev)'!D13</f>
        <v>88.885245901639351</v>
      </c>
      <c r="H14" s="41">
        <f t="shared" si="16"/>
        <v>85.714285714285722</v>
      </c>
      <c r="I14" s="41">
        <f t="shared" si="17"/>
        <v>86.034482758620683</v>
      </c>
      <c r="J14" s="6"/>
      <c r="K14" s="9">
        <f t="shared" si="1"/>
        <v>88.794867230000079</v>
      </c>
      <c r="L14" s="10">
        <f t="shared" si="2"/>
        <v>88.725616096385593</v>
      </c>
      <c r="M14" s="9">
        <f>TOPSIS!H12</f>
        <v>0.31621758910366465</v>
      </c>
      <c r="N14" s="9">
        <f t="shared" si="3"/>
        <v>3.9891311293939573E-2</v>
      </c>
      <c r="O14" s="9">
        <f t="shared" si="4"/>
        <v>0.96010868870606048</v>
      </c>
      <c r="P14" s="9">
        <f t="shared" si="5"/>
        <v>0.99840868328325005</v>
      </c>
      <c r="Q14" s="9">
        <f t="shared" si="6"/>
        <v>0.96163896085995493</v>
      </c>
      <c r="R14" s="9">
        <f t="shared" si="7"/>
        <v>0.9608938717884824</v>
      </c>
      <c r="S14" s="29"/>
      <c r="T14" s="45">
        <f t="shared" si="8"/>
        <v>85.252723540024121</v>
      </c>
      <c r="U14" s="45">
        <f t="shared" si="9"/>
        <v>88.653566473415381</v>
      </c>
      <c r="V14" s="45">
        <f t="shared" si="10"/>
        <v>85.38860385275494</v>
      </c>
      <c r="W14" s="45">
        <f t="shared" si="11"/>
        <v>85.322443767579017</v>
      </c>
      <c r="X14" s="16">
        <f t="shared" si="12"/>
        <v>21</v>
      </c>
      <c r="Y14" s="16">
        <f t="shared" si="13"/>
        <v>29</v>
      </c>
      <c r="Z14" s="16">
        <f t="shared" si="14"/>
        <v>24</v>
      </c>
      <c r="AA14" s="16">
        <f t="shared" si="15"/>
        <v>22</v>
      </c>
    </row>
    <row r="15" spans="1:27" x14ac:dyDescent="0.3">
      <c r="A15" s="5" t="s">
        <v>14</v>
      </c>
      <c r="B15" s="13">
        <v>81.599999999999994</v>
      </c>
      <c r="C15" s="13">
        <v>191</v>
      </c>
      <c r="D15" s="13">
        <v>2.9</v>
      </c>
      <c r="E15" s="14">
        <v>2.6</v>
      </c>
      <c r="F15" s="6">
        <f t="shared" si="18"/>
        <v>111.59090909090907</v>
      </c>
      <c r="G15" s="6">
        <f>'z2(Rev)'!D14</f>
        <v>114.85245901639345</v>
      </c>
      <c r="H15" s="6">
        <f t="shared" si="16"/>
        <v>77.142857142857139</v>
      </c>
      <c r="I15" s="6">
        <f t="shared" si="17"/>
        <v>78.275862068965523</v>
      </c>
      <c r="J15" s="6"/>
      <c r="K15" s="9">
        <f t="shared" si="1"/>
        <v>95.465521829781295</v>
      </c>
      <c r="L15" s="10">
        <f t="shared" si="2"/>
        <v>93.793593054996819</v>
      </c>
      <c r="M15" s="9">
        <f>TOPSIS!H13</f>
        <v>0.44434820331751301</v>
      </c>
      <c r="N15" s="9">
        <f t="shared" si="3"/>
        <v>0.18643458535692606</v>
      </c>
      <c r="O15" s="9">
        <f t="shared" si="4"/>
        <v>0.81356541464307397</v>
      </c>
      <c r="P15" s="9">
        <f t="shared" si="5"/>
        <v>0.96524214538279107</v>
      </c>
      <c r="Q15" s="9">
        <f t="shared" si="6"/>
        <v>0.84286147111866327</v>
      </c>
      <c r="R15" s="9">
        <f t="shared" si="7"/>
        <v>0.82991284862853021</v>
      </c>
      <c r="S15" s="29"/>
      <c r="T15" s="45">
        <f t="shared" si="8"/>
        <v>77.667446851563454</v>
      </c>
      <c r="U15" s="45">
        <f t="shared" si="9"/>
        <v>92.147345101065767</v>
      </c>
      <c r="V15" s="45">
        <f t="shared" si="10"/>
        <v>80.464210170560321</v>
      </c>
      <c r="W15" s="45">
        <f t="shared" si="11"/>
        <v>79.228063167562937</v>
      </c>
      <c r="X15" s="16">
        <f t="shared" si="12"/>
        <v>28</v>
      </c>
      <c r="Y15" s="16">
        <f t="shared" si="13"/>
        <v>23</v>
      </c>
      <c r="Z15" s="16">
        <f t="shared" si="14"/>
        <v>28</v>
      </c>
      <c r="AA15" s="16">
        <f t="shared" si="15"/>
        <v>28</v>
      </c>
    </row>
    <row r="16" spans="1:27" x14ac:dyDescent="0.3">
      <c r="A16" s="3" t="s">
        <v>15</v>
      </c>
      <c r="B16" s="11">
        <v>83</v>
      </c>
      <c r="C16" s="11">
        <v>162</v>
      </c>
      <c r="D16" s="11">
        <v>3.9</v>
      </c>
      <c r="E16" s="12">
        <v>5.4</v>
      </c>
      <c r="F16" s="41">
        <f t="shared" si="18"/>
        <v>121.13636363636365</v>
      </c>
      <c r="G16" s="4">
        <f>'z2(Rev)'!D15</f>
        <v>120.55737704918033</v>
      </c>
      <c r="H16" s="41">
        <f t="shared" si="16"/>
        <v>91.428571428571431</v>
      </c>
      <c r="I16" s="41">
        <f t="shared" si="17"/>
        <v>92.758620689655174</v>
      </c>
      <c r="J16" s="6"/>
      <c r="K16" s="9">
        <f t="shared" si="1"/>
        <v>106.47023320094264</v>
      </c>
      <c r="L16" s="10">
        <f t="shared" si="2"/>
        <v>105.49360528949464</v>
      </c>
      <c r="M16" s="9">
        <f>TOPSIS!H14</f>
        <v>0.58704163293868772</v>
      </c>
      <c r="N16" s="9">
        <f t="shared" si="3"/>
        <v>0.13511553135795101</v>
      </c>
      <c r="O16" s="9">
        <f t="shared" si="4"/>
        <v>0.86488446864204893</v>
      </c>
      <c r="P16" s="9">
        <f t="shared" si="5"/>
        <v>0.98174379318585858</v>
      </c>
      <c r="Q16" s="9">
        <f t="shared" si="6"/>
        <v>0.88096759525762902</v>
      </c>
      <c r="R16" s="9">
        <f t="shared" si="7"/>
        <v>0.87361497593302839</v>
      </c>
      <c r="S16" s="29"/>
      <c r="T16" s="45">
        <f t="shared" si="8"/>
        <v>92.084451068192308</v>
      </c>
      <c r="U16" s="45">
        <f t="shared" si="9"/>
        <v>104.52649060407637</v>
      </c>
      <c r="V16" s="45">
        <f t="shared" si="10"/>
        <v>93.796825309553412</v>
      </c>
      <c r="W16" s="45">
        <f t="shared" si="11"/>
        <v>93.013990215425423</v>
      </c>
      <c r="X16" s="16">
        <f t="shared" si="12"/>
        <v>8</v>
      </c>
      <c r="Y16" s="16">
        <f t="shared" si="13"/>
        <v>9</v>
      </c>
      <c r="Z16" s="16">
        <f t="shared" si="14"/>
        <v>10</v>
      </c>
      <c r="AA16" s="16">
        <f t="shared" si="15"/>
        <v>8</v>
      </c>
    </row>
    <row r="17" spans="1:27" x14ac:dyDescent="0.3">
      <c r="A17" s="5" t="s">
        <v>16</v>
      </c>
      <c r="B17" s="13">
        <v>81.099999999999994</v>
      </c>
      <c r="C17" s="13">
        <v>195</v>
      </c>
      <c r="D17" s="13">
        <v>4.7</v>
      </c>
      <c r="E17" s="14">
        <v>7.7</v>
      </c>
      <c r="F17" s="6">
        <f t="shared" si="18"/>
        <v>108.18181818181816</v>
      </c>
      <c r="G17" s="6">
        <f>'z2(Rev)'!D16</f>
        <v>114.0655737704918</v>
      </c>
      <c r="H17" s="6">
        <f t="shared" si="16"/>
        <v>102.85714285714286</v>
      </c>
      <c r="I17" s="6">
        <f t="shared" si="17"/>
        <v>104.65517241379311</v>
      </c>
      <c r="J17" s="6"/>
      <c r="K17" s="9">
        <f t="shared" si="1"/>
        <v>107.4399268058115</v>
      </c>
      <c r="L17" s="10">
        <f t="shared" si="2"/>
        <v>107.35592169690086</v>
      </c>
      <c r="M17" s="9">
        <f>TOPSIS!H15</f>
        <v>0.62137255768312494</v>
      </c>
      <c r="N17" s="9">
        <f t="shared" si="3"/>
        <v>3.9817934303168108E-2</v>
      </c>
      <c r="O17" s="9">
        <f t="shared" si="4"/>
        <v>0.96018206569683184</v>
      </c>
      <c r="P17" s="9">
        <f t="shared" si="5"/>
        <v>0.9984145321078286</v>
      </c>
      <c r="Q17" s="9">
        <f t="shared" si="6"/>
        <v>0.96170682098318294</v>
      </c>
      <c r="R17" s="9">
        <f t="shared" si="7"/>
        <v>0.96096438187612243</v>
      </c>
      <c r="S17" s="29"/>
      <c r="T17" s="45">
        <f t="shared" si="8"/>
        <v>103.1618908587205</v>
      </c>
      <c r="U17" s="45">
        <f t="shared" si="9"/>
        <v>107.26958425152364</v>
      </c>
      <c r="V17" s="45">
        <f t="shared" si="10"/>
        <v>103.32571045508283</v>
      </c>
      <c r="W17" s="45">
        <f t="shared" si="11"/>
        <v>103.24594285176248</v>
      </c>
      <c r="X17" s="16">
        <f t="shared" si="12"/>
        <v>2</v>
      </c>
      <c r="Y17" s="16">
        <f t="shared" si="13"/>
        <v>7</v>
      </c>
      <c r="Z17" s="16">
        <f t="shared" si="14"/>
        <v>2</v>
      </c>
      <c r="AA17" s="16">
        <f t="shared" si="15"/>
        <v>2</v>
      </c>
    </row>
    <row r="18" spans="1:27" x14ac:dyDescent="0.3">
      <c r="A18" s="3" t="s">
        <v>17</v>
      </c>
      <c r="B18" s="11">
        <v>81.8</v>
      </c>
      <c r="C18" s="11">
        <v>213</v>
      </c>
      <c r="D18" s="11">
        <v>6.6</v>
      </c>
      <c r="E18" s="12">
        <v>4.2</v>
      </c>
      <c r="F18" s="41">
        <f t="shared" si="18"/>
        <v>112.95454545454545</v>
      </c>
      <c r="G18" s="4">
        <f>'z2(Rev)'!D17</f>
        <v>110.52459016393442</v>
      </c>
      <c r="H18" s="42">
        <f t="shared" si="16"/>
        <v>130</v>
      </c>
      <c r="I18" s="41">
        <f t="shared" si="17"/>
        <v>86.551724137931032</v>
      </c>
      <c r="J18" s="6"/>
      <c r="K18" s="9">
        <f t="shared" si="1"/>
        <v>110.00771493910273</v>
      </c>
      <c r="L18" s="10">
        <f t="shared" si="2"/>
        <v>108.86679191552599</v>
      </c>
      <c r="M18" s="9">
        <f>TOPSIS!H16</f>
        <v>0.62915299676521685</v>
      </c>
      <c r="N18" s="9">
        <f t="shared" si="3"/>
        <v>0.14073974094595848</v>
      </c>
      <c r="O18" s="9">
        <f t="shared" si="4"/>
        <v>0.85926025905404146</v>
      </c>
      <c r="P18" s="9">
        <f t="shared" si="5"/>
        <v>0.98019232531846445</v>
      </c>
      <c r="Q18" s="9">
        <f t="shared" si="6"/>
        <v>0.87662414493489105</v>
      </c>
      <c r="R18" s="9">
        <f t="shared" si="7"/>
        <v>0.8687153733203915</v>
      </c>
      <c r="S18" s="29"/>
      <c r="T18" s="45">
        <f t="shared" si="8"/>
        <v>94.525257636516557</v>
      </c>
      <c r="U18" s="45">
        <f t="shared" si="9"/>
        <v>107.82871790912988</v>
      </c>
      <c r="V18" s="45">
        <f t="shared" si="10"/>
        <v>96.435419044732171</v>
      </c>
      <c r="W18" s="45">
        <f t="shared" si="11"/>
        <v>95.565393151445832</v>
      </c>
      <c r="X18" s="16">
        <f t="shared" si="12"/>
        <v>4</v>
      </c>
      <c r="Y18" s="16">
        <f t="shared" si="13"/>
        <v>5</v>
      </c>
      <c r="Z18" s="16">
        <f t="shared" si="14"/>
        <v>3</v>
      </c>
      <c r="AA18" s="16">
        <f t="shared" si="15"/>
        <v>4</v>
      </c>
    </row>
    <row r="19" spans="1:27" x14ac:dyDescent="0.3">
      <c r="A19" s="5" t="s">
        <v>18</v>
      </c>
      <c r="B19" s="13">
        <v>76.7</v>
      </c>
      <c r="C19" s="13">
        <v>390</v>
      </c>
      <c r="D19" s="13">
        <v>3.6</v>
      </c>
      <c r="E19" s="14">
        <v>6.5</v>
      </c>
      <c r="F19" s="6">
        <f t="shared" si="18"/>
        <v>78.181818181818201</v>
      </c>
      <c r="G19" s="6">
        <f>'z2(Rev)'!D18</f>
        <v>75.704918032786878</v>
      </c>
      <c r="H19" s="6">
        <f t="shared" si="16"/>
        <v>87.142857142857153</v>
      </c>
      <c r="I19" s="6">
        <f t="shared" si="17"/>
        <v>98.448275862068968</v>
      </c>
      <c r="J19" s="6"/>
      <c r="K19" s="9">
        <f t="shared" si="1"/>
        <v>84.869467304882804</v>
      </c>
      <c r="L19" s="10">
        <f t="shared" si="2"/>
        <v>84.414575788031584</v>
      </c>
      <c r="M19" s="9">
        <f>TOPSIS!H17</f>
        <v>0.27374242376970298</v>
      </c>
      <c r="N19" s="9">
        <f t="shared" si="3"/>
        <v>0.10510263927485411</v>
      </c>
      <c r="O19" s="9">
        <f t="shared" si="4"/>
        <v>0.89489736072514592</v>
      </c>
      <c r="P19" s="9">
        <f t="shared" si="5"/>
        <v>0.98895343521745993</v>
      </c>
      <c r="Q19" s="9">
        <f t="shared" si="6"/>
        <v>0.90489332344385642</v>
      </c>
      <c r="R19" s="9">
        <f t="shared" si="7"/>
        <v>0.90023211867235042</v>
      </c>
      <c r="S19" s="29"/>
      <c r="T19" s="45">
        <f t="shared" si="8"/>
        <v>75.94946229728869</v>
      </c>
      <c r="U19" s="45">
        <f t="shared" si="9"/>
        <v>83.931951236239755</v>
      </c>
      <c r="V19" s="45">
        <f t="shared" si="10"/>
        <v>76.797814328425119</v>
      </c>
      <c r="W19" s="45">
        <f t="shared" si="11"/>
        <v>76.402220362468427</v>
      </c>
      <c r="X19" s="16">
        <f t="shared" si="12"/>
        <v>30</v>
      </c>
      <c r="Y19" s="16">
        <f t="shared" si="13"/>
        <v>30</v>
      </c>
      <c r="Z19" s="16">
        <f t="shared" si="14"/>
        <v>31</v>
      </c>
      <c r="AA19" s="16">
        <f t="shared" si="15"/>
        <v>31</v>
      </c>
    </row>
    <row r="20" spans="1:27" x14ac:dyDescent="0.3">
      <c r="A20" s="3" t="s">
        <v>19</v>
      </c>
      <c r="B20" s="11">
        <v>82.4</v>
      </c>
      <c r="C20" s="11">
        <v>150</v>
      </c>
      <c r="D20" s="11">
        <v>4.5</v>
      </c>
      <c r="E20" s="12">
        <v>2.6</v>
      </c>
      <c r="F20" s="41">
        <f t="shared" si="18"/>
        <v>117.04545454545459</v>
      </c>
      <c r="G20" s="4">
        <f>'z2(Rev)'!D19</f>
        <v>122.91803278688525</v>
      </c>
      <c r="H20" s="41">
        <f t="shared" si="16"/>
        <v>100</v>
      </c>
      <c r="I20" s="41">
        <f t="shared" si="17"/>
        <v>78.275862068965523</v>
      </c>
      <c r="J20" s="6"/>
      <c r="K20" s="9">
        <f t="shared" si="1"/>
        <v>104.55983735032633</v>
      </c>
      <c r="L20" s="10">
        <f t="shared" si="2"/>
        <v>103.01477142442786</v>
      </c>
      <c r="M20" s="9">
        <f>TOPSIS!H18</f>
        <v>0.55669468020578616</v>
      </c>
      <c r="N20" s="9">
        <f t="shared" si="3"/>
        <v>0.16596562402148718</v>
      </c>
      <c r="O20" s="9">
        <f t="shared" si="4"/>
        <v>0.83403437597851282</v>
      </c>
      <c r="P20" s="9">
        <f t="shared" si="5"/>
        <v>0.97245541164315841</v>
      </c>
      <c r="Q20" s="9">
        <f t="shared" si="6"/>
        <v>0.85765821855959901</v>
      </c>
      <c r="R20" s="9">
        <f t="shared" si="7"/>
        <v>0.84707535273303192</v>
      </c>
      <c r="S20" s="29"/>
      <c r="T20" s="45">
        <f t="shared" si="8"/>
        <v>87.206498696894215</v>
      </c>
      <c r="U20" s="45">
        <f t="shared" si="9"/>
        <v>101.67977967185328</v>
      </c>
      <c r="V20" s="45">
        <f t="shared" si="10"/>
        <v>89.676603834762304</v>
      </c>
      <c r="W20" s="45">
        <f t="shared" si="11"/>
        <v>88.570061105236121</v>
      </c>
      <c r="X20" s="16">
        <f t="shared" si="12"/>
        <v>17</v>
      </c>
      <c r="Y20" s="16">
        <f t="shared" si="13"/>
        <v>14</v>
      </c>
      <c r="Z20" s="16">
        <f t="shared" si="14"/>
        <v>15</v>
      </c>
      <c r="AA20" s="16">
        <f t="shared" si="15"/>
        <v>17</v>
      </c>
    </row>
    <row r="21" spans="1:27" x14ac:dyDescent="0.3">
      <c r="A21" s="5" t="s">
        <v>20</v>
      </c>
      <c r="B21" s="13">
        <v>82.9</v>
      </c>
      <c r="C21" s="13">
        <v>166</v>
      </c>
      <c r="D21" s="13">
        <v>3.8</v>
      </c>
      <c r="E21" s="14">
        <v>2.9</v>
      </c>
      <c r="F21" s="6">
        <f t="shared" si="18"/>
        <v>120.45454545454551</v>
      </c>
      <c r="G21" s="6">
        <f>'z2(Rev)'!D20</f>
        <v>119.77049180327869</v>
      </c>
      <c r="H21" s="6">
        <f t="shared" si="16"/>
        <v>90</v>
      </c>
      <c r="I21" s="6">
        <f t="shared" si="17"/>
        <v>79.827586206896555</v>
      </c>
      <c r="J21" s="6"/>
      <c r="K21" s="9">
        <f t="shared" si="1"/>
        <v>102.51315586618018</v>
      </c>
      <c r="L21" s="10">
        <f t="shared" si="2"/>
        <v>100.90022465989534</v>
      </c>
      <c r="M21" s="9">
        <f>TOPSIS!H19</f>
        <v>0.53078831121332515</v>
      </c>
      <c r="N21" s="9">
        <f t="shared" si="3"/>
        <v>0.17524297255337423</v>
      </c>
      <c r="O21" s="9">
        <f t="shared" si="4"/>
        <v>0.82475702744662582</v>
      </c>
      <c r="P21" s="9">
        <f t="shared" si="5"/>
        <v>0.96928990057065734</v>
      </c>
      <c r="Q21" s="9">
        <f t="shared" si="6"/>
        <v>0.85088787880804329</v>
      </c>
      <c r="R21" s="9">
        <f t="shared" si="7"/>
        <v>0.83925308053036674</v>
      </c>
      <c r="S21" s="29"/>
      <c r="T21" s="45">
        <f t="shared" si="8"/>
        <v>84.548445706363395</v>
      </c>
      <c r="U21" s="45">
        <f t="shared" si="9"/>
        <v>99.364966656714088</v>
      </c>
      <c r="V21" s="45">
        <f t="shared" si="10"/>
        <v>87.227201744892383</v>
      </c>
      <c r="W21" s="45">
        <f t="shared" si="11"/>
        <v>86.034481855581362</v>
      </c>
      <c r="X21" s="16">
        <f t="shared" si="12"/>
        <v>22</v>
      </c>
      <c r="Y21" s="16">
        <f t="shared" si="13"/>
        <v>19</v>
      </c>
      <c r="Z21" s="16">
        <f t="shared" si="14"/>
        <v>21</v>
      </c>
      <c r="AA21" s="16">
        <f t="shared" si="15"/>
        <v>21</v>
      </c>
    </row>
    <row r="22" spans="1:27" x14ac:dyDescent="0.3">
      <c r="A22" s="3" t="s">
        <v>21</v>
      </c>
      <c r="B22" s="11">
        <v>83.8</v>
      </c>
      <c r="C22" s="11">
        <v>134</v>
      </c>
      <c r="D22" s="11">
        <v>3.5</v>
      </c>
      <c r="E22" s="12">
        <v>3</v>
      </c>
      <c r="F22" s="41">
        <f t="shared" si="18"/>
        <v>126.59090909090909</v>
      </c>
      <c r="G22" s="4">
        <f>'z2(Rev)'!D21</f>
        <v>126.0655737704918</v>
      </c>
      <c r="H22" s="41">
        <f t="shared" si="16"/>
        <v>85.714285714285722</v>
      </c>
      <c r="I22" s="41">
        <f t="shared" si="17"/>
        <v>80.34482758620689</v>
      </c>
      <c r="J22" s="6"/>
      <c r="K22" s="9">
        <f t="shared" si="1"/>
        <v>104.67889904047337</v>
      </c>
      <c r="L22" s="10">
        <f t="shared" si="2"/>
        <v>102.38882031315789</v>
      </c>
      <c r="M22" s="9">
        <f>TOPSIS!H20</f>
        <v>0.55085957011531794</v>
      </c>
      <c r="N22" s="9">
        <f t="shared" si="3"/>
        <v>0.2076178675729301</v>
      </c>
      <c r="O22" s="9">
        <f t="shared" si="4"/>
        <v>0.7923821324270699</v>
      </c>
      <c r="P22" s="9">
        <f t="shared" si="5"/>
        <v>0.95689482106446921</v>
      </c>
      <c r="Q22" s="9">
        <f t="shared" si="6"/>
        <v>0.82807651894866341</v>
      </c>
      <c r="R22" s="9">
        <f t="shared" si="7"/>
        <v>0.81251746666705948</v>
      </c>
      <c r="S22" s="29"/>
      <c r="T22" s="45">
        <f t="shared" si="8"/>
        <v>82.945689241808253</v>
      </c>
      <c r="U22" s="45">
        <f t="shared" si="9"/>
        <v>100.16669636655941</v>
      </c>
      <c r="V22" s="45">
        <f t="shared" si="10"/>
        <v>86.682138324813764</v>
      </c>
      <c r="W22" s="45">
        <f t="shared" si="11"/>
        <v>85.053433861862302</v>
      </c>
      <c r="X22" s="16">
        <f t="shared" si="12"/>
        <v>24</v>
      </c>
      <c r="Y22" s="16">
        <f t="shared" si="13"/>
        <v>16</v>
      </c>
      <c r="Z22" s="16">
        <f t="shared" si="14"/>
        <v>22</v>
      </c>
      <c r="AA22" s="16">
        <f t="shared" si="15"/>
        <v>23</v>
      </c>
    </row>
    <row r="23" spans="1:27" x14ac:dyDescent="0.3">
      <c r="A23" s="5" t="s">
        <v>22</v>
      </c>
      <c r="B23" s="13">
        <v>83.5</v>
      </c>
      <c r="C23" s="13">
        <v>145</v>
      </c>
      <c r="D23" s="13">
        <v>5.4</v>
      </c>
      <c r="E23" s="14">
        <v>3</v>
      </c>
      <c r="F23" s="6">
        <f t="shared" si="18"/>
        <v>124.54545454545456</v>
      </c>
      <c r="G23" s="6">
        <f>'z2(Rev)'!D22</f>
        <v>123.90163934426229</v>
      </c>
      <c r="H23" s="6">
        <f t="shared" si="16"/>
        <v>112.85714285714286</v>
      </c>
      <c r="I23" s="6">
        <f t="shared" si="17"/>
        <v>80.34482758620689</v>
      </c>
      <c r="J23" s="6"/>
      <c r="K23" s="9">
        <f t="shared" si="1"/>
        <v>110.41226608326664</v>
      </c>
      <c r="L23" s="10">
        <f t="shared" si="2"/>
        <v>108.76094620746598</v>
      </c>
      <c r="M23" s="9">
        <f>TOPSIS!H21</f>
        <v>0.62459737908382362</v>
      </c>
      <c r="N23" s="9">
        <f t="shared" si="3"/>
        <v>0.16275711414618202</v>
      </c>
      <c r="O23" s="9">
        <f t="shared" si="4"/>
        <v>0.83724288585381801</v>
      </c>
      <c r="P23" s="9">
        <f t="shared" si="5"/>
        <v>0.97351012179480667</v>
      </c>
      <c r="Q23" s="9">
        <f t="shared" si="6"/>
        <v>0.86002483909488237</v>
      </c>
      <c r="R23" s="9">
        <f t="shared" si="7"/>
        <v>0.84979756715800869</v>
      </c>
      <c r="S23" s="29"/>
      <c r="T23" s="45">
        <f t="shared" si="8"/>
        <v>92.441884289213803</v>
      </c>
      <c r="U23" s="45">
        <f t="shared" si="9"/>
        <v>107.48745860236151</v>
      </c>
      <c r="V23" s="45">
        <f t="shared" si="10"/>
        <v>94.957291372362732</v>
      </c>
      <c r="W23" s="45">
        <f t="shared" si="11"/>
        <v>93.82807510196271</v>
      </c>
      <c r="X23" s="16">
        <f t="shared" si="12"/>
        <v>7</v>
      </c>
      <c r="Y23" s="16">
        <f t="shared" si="13"/>
        <v>6</v>
      </c>
      <c r="Z23" s="16">
        <f t="shared" si="14"/>
        <v>7</v>
      </c>
      <c r="AA23" s="16">
        <f t="shared" si="15"/>
        <v>7</v>
      </c>
    </row>
    <row r="24" spans="1:27" x14ac:dyDescent="0.3">
      <c r="A24" s="3" t="s">
        <v>23</v>
      </c>
      <c r="B24" s="11">
        <v>84.1</v>
      </c>
      <c r="C24" s="11">
        <v>135</v>
      </c>
      <c r="D24" s="11">
        <v>2.6</v>
      </c>
      <c r="E24" s="12">
        <v>12.5</v>
      </c>
      <c r="F24" s="41">
        <f t="shared" si="18"/>
        <v>128.63636363636363</v>
      </c>
      <c r="G24" s="4">
        <f>'z2(Rev)'!D23</f>
        <v>125.8688524590164</v>
      </c>
      <c r="H24" s="41">
        <f t="shared" si="16"/>
        <v>72.857142857142861</v>
      </c>
      <c r="I24" s="41">
        <f t="shared" si="17"/>
        <v>129.48275862068965</v>
      </c>
      <c r="J24" s="6"/>
      <c r="K24" s="9">
        <f t="shared" si="1"/>
        <v>114.21127939330313</v>
      </c>
      <c r="L24" s="10">
        <f t="shared" si="2"/>
        <v>111.17100371841555</v>
      </c>
      <c r="M24" s="9">
        <f>TOPSIS!H22</f>
        <v>0.63690436036525744</v>
      </c>
      <c r="N24" s="9">
        <f t="shared" si="3"/>
        <v>0.20937687809156624</v>
      </c>
      <c r="O24" s="9">
        <f t="shared" si="4"/>
        <v>0.79062312190843376</v>
      </c>
      <c r="P24" s="9">
        <f t="shared" si="5"/>
        <v>0.95616132292062939</v>
      </c>
      <c r="Q24" s="9">
        <f t="shared" si="6"/>
        <v>0.82687210092690921</v>
      </c>
      <c r="R24" s="9">
        <f t="shared" si="7"/>
        <v>0.81108949617236925</v>
      </c>
      <c r="S24" s="29"/>
      <c r="T24" s="45">
        <f t="shared" si="8"/>
        <v>90.298078271089693</v>
      </c>
      <c r="U24" s="45">
        <f t="shared" si="9"/>
        <v>109.20440799715834</v>
      </c>
      <c r="V24" s="45">
        <f t="shared" si="10"/>
        <v>94.438120541490775</v>
      </c>
      <c r="W24" s="45">
        <f t="shared" si="11"/>
        <v>92.63556906031593</v>
      </c>
      <c r="X24" s="16">
        <f t="shared" si="12"/>
        <v>10</v>
      </c>
      <c r="Y24" s="16">
        <f t="shared" si="13"/>
        <v>2</v>
      </c>
      <c r="Z24" s="16">
        <f t="shared" si="14"/>
        <v>8</v>
      </c>
      <c r="AA24" s="16">
        <f t="shared" si="15"/>
        <v>9</v>
      </c>
    </row>
    <row r="25" spans="1:27" x14ac:dyDescent="0.3">
      <c r="A25" s="5" t="s">
        <v>24</v>
      </c>
      <c r="B25" s="13">
        <v>83.5</v>
      </c>
      <c r="C25" s="13">
        <v>151</v>
      </c>
      <c r="D25" s="13">
        <v>2.7</v>
      </c>
      <c r="E25" s="14">
        <v>12.6</v>
      </c>
      <c r="F25" s="6">
        <f t="shared" si="18"/>
        <v>124.54545454545456</v>
      </c>
      <c r="G25" s="6">
        <f>'z2(Rev)'!D24</f>
        <v>122.72131147540983</v>
      </c>
      <c r="H25" s="6">
        <f t="shared" si="16"/>
        <v>74.285714285714292</v>
      </c>
      <c r="I25" s="7">
        <f t="shared" si="17"/>
        <v>130</v>
      </c>
      <c r="J25" s="6"/>
      <c r="K25" s="9">
        <f t="shared" si="1"/>
        <v>112.88812007664467</v>
      </c>
      <c r="L25" s="10">
        <f t="shared" si="2"/>
        <v>110.22348326799217</v>
      </c>
      <c r="M25" s="9">
        <f>TOPSIS!H23</f>
        <v>0.63167558385820877</v>
      </c>
      <c r="N25" s="9">
        <f t="shared" si="3"/>
        <v>0.19884664014731218</v>
      </c>
      <c r="O25" s="9">
        <f t="shared" si="4"/>
        <v>0.80115335985268787</v>
      </c>
      <c r="P25" s="9">
        <f t="shared" si="5"/>
        <v>0.9604600137021253</v>
      </c>
      <c r="Q25" s="9">
        <f t="shared" si="6"/>
        <v>0.83413504823029061</v>
      </c>
      <c r="R25" s="9">
        <f t="shared" si="7"/>
        <v>0.81967558902192728</v>
      </c>
      <c r="S25" s="29"/>
      <c r="T25" s="45">
        <f t="shared" si="8"/>
        <v>90.440696686857549</v>
      </c>
      <c r="U25" s="45">
        <f t="shared" si="9"/>
        <v>108.4245253556213</v>
      </c>
      <c r="V25" s="45">
        <f t="shared" si="10"/>
        <v>94.163937484758833</v>
      </c>
      <c r="W25" s="45">
        <f t="shared" si="11"/>
        <v>92.531636317401777</v>
      </c>
      <c r="X25" s="16">
        <f t="shared" si="12"/>
        <v>9</v>
      </c>
      <c r="Y25" s="16">
        <f t="shared" si="13"/>
        <v>4</v>
      </c>
      <c r="Z25" s="16">
        <f t="shared" si="14"/>
        <v>9</v>
      </c>
      <c r="AA25" s="16">
        <f t="shared" si="15"/>
        <v>10</v>
      </c>
    </row>
    <row r="26" spans="1:27" x14ac:dyDescent="0.3">
      <c r="A26" s="3" t="s">
        <v>25</v>
      </c>
      <c r="B26" s="11">
        <v>75.599999999999994</v>
      </c>
      <c r="C26" s="11">
        <v>412</v>
      </c>
      <c r="D26" s="11">
        <v>3.4</v>
      </c>
      <c r="E26" s="12">
        <v>5</v>
      </c>
      <c r="F26" s="41">
        <f t="shared" si="18"/>
        <v>70.681818181818144</v>
      </c>
      <c r="G26" s="4">
        <f>'z2(Rev)'!D25</f>
        <v>71.377049180327873</v>
      </c>
      <c r="H26" s="41">
        <f t="shared" si="16"/>
        <v>84.285714285714292</v>
      </c>
      <c r="I26" s="41">
        <f t="shared" si="17"/>
        <v>90.689655172413794</v>
      </c>
      <c r="J26" s="6"/>
      <c r="K26" s="9">
        <f t="shared" si="1"/>
        <v>79.258559205068522</v>
      </c>
      <c r="L26" s="10">
        <f t="shared" si="2"/>
        <v>78.803318425548696</v>
      </c>
      <c r="M26" s="9">
        <f>TOPSIS!H24</f>
        <v>0.19663986314890766</v>
      </c>
      <c r="N26" s="9">
        <f t="shared" si="3"/>
        <v>0.10772913591239255</v>
      </c>
      <c r="O26" s="9">
        <f t="shared" si="4"/>
        <v>0.89227086408760747</v>
      </c>
      <c r="P26" s="9">
        <f t="shared" si="5"/>
        <v>0.98839443327556931</v>
      </c>
      <c r="Q26" s="9">
        <f t="shared" si="6"/>
        <v>0.90274776349214614</v>
      </c>
      <c r="R26" s="9">
        <f t="shared" si="7"/>
        <v>0.89787076444160729</v>
      </c>
      <c r="S26" s="29"/>
      <c r="T26" s="45">
        <f t="shared" si="8"/>
        <v>70.720103108245283</v>
      </c>
      <c r="U26" s="45">
        <f t="shared" si="9"/>
        <v>78.338718707731857</v>
      </c>
      <c r="V26" s="45">
        <f t="shared" si="10"/>
        <v>71.550487059985457</v>
      </c>
      <c r="W26" s="45">
        <f t="shared" si="11"/>
        <v>71.163943141995261</v>
      </c>
      <c r="X26" s="16">
        <f t="shared" si="12"/>
        <v>33</v>
      </c>
      <c r="Y26" s="16">
        <f t="shared" si="13"/>
        <v>33</v>
      </c>
      <c r="Z26" s="16">
        <f t="shared" si="14"/>
        <v>33</v>
      </c>
      <c r="AA26" s="16">
        <f t="shared" si="15"/>
        <v>33</v>
      </c>
    </row>
    <row r="27" spans="1:27" x14ac:dyDescent="0.3">
      <c r="A27" s="5" t="s">
        <v>26</v>
      </c>
      <c r="B27" s="13">
        <v>77.599999999999994</v>
      </c>
      <c r="C27" s="13">
        <v>356</v>
      </c>
      <c r="D27" s="13">
        <v>4.5999999999999996</v>
      </c>
      <c r="E27" s="14">
        <v>5.5</v>
      </c>
      <c r="F27" s="6">
        <f t="shared" si="18"/>
        <v>84.318181818181785</v>
      </c>
      <c r="G27" s="6">
        <f>'z2(Rev)'!D26</f>
        <v>82.393442622950815</v>
      </c>
      <c r="H27" s="6">
        <f t="shared" si="16"/>
        <v>101.42857142857143</v>
      </c>
      <c r="I27" s="6">
        <f t="shared" si="17"/>
        <v>93.275862068965523</v>
      </c>
      <c r="J27" s="6"/>
      <c r="K27" s="9">
        <f t="shared" si="1"/>
        <v>90.354014484667388</v>
      </c>
      <c r="L27" s="10">
        <f t="shared" si="2"/>
        <v>90.04007864397488</v>
      </c>
      <c r="M27" s="9">
        <f>TOPSIS!H25</f>
        <v>0.34989377433719504</v>
      </c>
      <c r="N27" s="9">
        <f t="shared" si="3"/>
        <v>8.4103569055703112E-2</v>
      </c>
      <c r="O27" s="9">
        <f t="shared" si="4"/>
        <v>0.91589643094429685</v>
      </c>
      <c r="P27" s="9">
        <f t="shared" si="5"/>
        <v>0.99292658967209257</v>
      </c>
      <c r="Q27" s="9">
        <f t="shared" si="6"/>
        <v>0.92242109383611703</v>
      </c>
      <c r="R27" s="9">
        <f t="shared" si="7"/>
        <v>0.91933603639913908</v>
      </c>
      <c r="S27" s="29"/>
      <c r="T27" s="45">
        <f t="shared" si="8"/>
        <v>82.754919387996168</v>
      </c>
      <c r="U27" s="45">
        <f t="shared" si="9"/>
        <v>89.714903465443641</v>
      </c>
      <c r="V27" s="45">
        <f t="shared" si="10"/>
        <v>83.344448873431261</v>
      </c>
      <c r="W27" s="45">
        <f t="shared" si="11"/>
        <v>83.065701549084523</v>
      </c>
      <c r="X27" s="16">
        <f t="shared" si="12"/>
        <v>25</v>
      </c>
      <c r="Y27" s="16">
        <f t="shared" si="13"/>
        <v>28</v>
      </c>
      <c r="Z27" s="16">
        <f t="shared" si="14"/>
        <v>25</v>
      </c>
      <c r="AA27" s="16">
        <f t="shared" si="15"/>
        <v>25</v>
      </c>
    </row>
    <row r="28" spans="1:27" x14ac:dyDescent="0.3">
      <c r="A28" s="3" t="s">
        <v>27</v>
      </c>
      <c r="B28" s="11">
        <v>83.4</v>
      </c>
      <c r="C28" s="11">
        <v>123</v>
      </c>
      <c r="D28" s="11">
        <v>4</v>
      </c>
      <c r="E28" s="12">
        <v>3.9</v>
      </c>
      <c r="F28" s="41">
        <f t="shared" si="18"/>
        <v>123.86363636363643</v>
      </c>
      <c r="G28" s="4">
        <f>'z2(Rev)'!D27</f>
        <v>128.22950819672133</v>
      </c>
      <c r="H28" s="41">
        <f t="shared" si="16"/>
        <v>92.857142857142861</v>
      </c>
      <c r="I28" s="41">
        <f t="shared" si="17"/>
        <v>85</v>
      </c>
      <c r="J28" s="6"/>
      <c r="K28" s="9">
        <f t="shared" si="1"/>
        <v>107.48757185437515</v>
      </c>
      <c r="L28" s="10">
        <f t="shared" si="2"/>
        <v>105.81360510179785</v>
      </c>
      <c r="M28" s="9">
        <f>TOPSIS!H26</f>
        <v>0.58837343346417392</v>
      </c>
      <c r="N28" s="9">
        <f t="shared" si="3"/>
        <v>0.17517490074878772</v>
      </c>
      <c r="O28" s="9">
        <f t="shared" si="4"/>
        <v>0.82482509925121228</v>
      </c>
      <c r="P28" s="9">
        <f t="shared" si="5"/>
        <v>0.96931375414765242</v>
      </c>
      <c r="Q28" s="9">
        <f t="shared" si="6"/>
        <v>0.85093716634249816</v>
      </c>
      <c r="R28" s="9">
        <f t="shared" si="7"/>
        <v>0.83931021194656041</v>
      </c>
      <c r="S28" s="29"/>
      <c r="T28" s="45">
        <f t="shared" si="8"/>
        <v>88.658447123056789</v>
      </c>
      <c r="U28" s="45">
        <f t="shared" si="9"/>
        <v>104.18918179837992</v>
      </c>
      <c r="V28" s="45">
        <f t="shared" si="10"/>
        <v>91.465169810797647</v>
      </c>
      <c r="W28" s="45">
        <f t="shared" si="11"/>
        <v>90.215416714716753</v>
      </c>
      <c r="X28" s="16">
        <f t="shared" si="12"/>
        <v>14</v>
      </c>
      <c r="Y28" s="16">
        <f t="shared" si="13"/>
        <v>10</v>
      </c>
      <c r="Z28" s="16">
        <f t="shared" si="14"/>
        <v>12</v>
      </c>
      <c r="AA28" s="16">
        <f t="shared" si="15"/>
        <v>12</v>
      </c>
    </row>
    <row r="29" spans="1:27" x14ac:dyDescent="0.3">
      <c r="A29" s="5" t="s">
        <v>28</v>
      </c>
      <c r="B29" s="13">
        <v>75.5</v>
      </c>
      <c r="C29" s="13">
        <v>418</v>
      </c>
      <c r="D29" s="13">
        <v>2.7</v>
      </c>
      <c r="E29" s="14">
        <v>1</v>
      </c>
      <c r="F29" s="7">
        <f t="shared" si="18"/>
        <v>70</v>
      </c>
      <c r="G29" s="6">
        <f>'z2(Rev)'!D28</f>
        <v>70.196721311475414</v>
      </c>
      <c r="H29" s="6">
        <f t="shared" si="16"/>
        <v>74.285714285714292</v>
      </c>
      <c r="I29" s="7">
        <f t="shared" si="17"/>
        <v>70</v>
      </c>
      <c r="J29" s="6"/>
      <c r="K29" s="9">
        <f t="shared" si="1"/>
        <v>71.120608899297423</v>
      </c>
      <c r="L29" s="10">
        <f t="shared" si="2"/>
        <v>71.097536505149762</v>
      </c>
      <c r="M29" s="9">
        <f>TOPSIS!H27</f>
        <v>3.5135318351405813E-2</v>
      </c>
      <c r="N29" s="9">
        <f t="shared" si="3"/>
        <v>2.5718823528841361E-2</v>
      </c>
      <c r="O29" s="9">
        <f t="shared" si="4"/>
        <v>0.97428117647115864</v>
      </c>
      <c r="P29" s="9">
        <f t="shared" si="5"/>
        <v>0.99933854211629236</v>
      </c>
      <c r="Q29" s="9">
        <f t="shared" si="6"/>
        <v>0.97492604899229651</v>
      </c>
      <c r="R29" s="9">
        <f t="shared" si="7"/>
        <v>0.97460908823014913</v>
      </c>
      <c r="S29" s="29"/>
      <c r="T29" s="45">
        <f t="shared" si="8"/>
        <v>69.291470509752642</v>
      </c>
      <c r="U29" s="45">
        <f t="shared" si="9"/>
        <v>71.073565611846888</v>
      </c>
      <c r="V29" s="45">
        <f t="shared" si="10"/>
        <v>69.337334236118394</v>
      </c>
      <c r="W29" s="45">
        <f t="shared" si="11"/>
        <v>69.314791793717291</v>
      </c>
      <c r="X29" s="16">
        <f t="shared" si="12"/>
        <v>35</v>
      </c>
      <c r="Y29" s="16">
        <f t="shared" si="13"/>
        <v>35</v>
      </c>
      <c r="Z29" s="16">
        <f t="shared" si="14"/>
        <v>35</v>
      </c>
      <c r="AA29" s="16">
        <f t="shared" si="15"/>
        <v>35</v>
      </c>
    </row>
    <row r="30" spans="1:27" x14ac:dyDescent="0.3">
      <c r="A30" s="3" t="s">
        <v>29</v>
      </c>
      <c r="B30" s="11">
        <v>81.900000000000006</v>
      </c>
      <c r="C30" s="11">
        <v>149</v>
      </c>
      <c r="D30" s="11">
        <v>3.9</v>
      </c>
      <c r="E30" s="12">
        <v>2.2999999999999998</v>
      </c>
      <c r="F30" s="41">
        <f t="shared" si="18"/>
        <v>113.63636363636368</v>
      </c>
      <c r="G30" s="4">
        <f>'z2(Rev)'!D29</f>
        <v>123.11475409836066</v>
      </c>
      <c r="H30" s="41">
        <f t="shared" si="16"/>
        <v>91.428571428571431</v>
      </c>
      <c r="I30" s="41">
        <f t="shared" si="17"/>
        <v>76.724137931034477</v>
      </c>
      <c r="J30" s="6"/>
      <c r="K30" s="9">
        <f t="shared" si="1"/>
        <v>101.22595677358257</v>
      </c>
      <c r="L30" s="10">
        <f t="shared" si="2"/>
        <v>99.531453272107285</v>
      </c>
      <c r="M30" s="9">
        <f>TOPSIS!H28</f>
        <v>0.5149170732549877</v>
      </c>
      <c r="N30" s="9">
        <f t="shared" si="3"/>
        <v>0.18010122021858646</v>
      </c>
      <c r="O30" s="9">
        <f t="shared" si="4"/>
        <v>0.81989877978141357</v>
      </c>
      <c r="P30" s="9">
        <f t="shared" si="5"/>
        <v>0.96756355047577625</v>
      </c>
      <c r="Q30" s="9">
        <f t="shared" si="6"/>
        <v>0.84738493856889074</v>
      </c>
      <c r="R30" s="9">
        <f t="shared" si="7"/>
        <v>0.83518566945664396</v>
      </c>
      <c r="S30" s="29"/>
      <c r="T30" s="45">
        <f t="shared" si="8"/>
        <v>82.995038440866466</v>
      </c>
      <c r="U30" s="45">
        <f t="shared" si="9"/>
        <v>97.942546136155002</v>
      </c>
      <c r="V30" s="45">
        <f t="shared" si="10"/>
        <v>85.777351162159448</v>
      </c>
      <c r="W30" s="45">
        <f t="shared" si="11"/>
        <v>84.542468474333859</v>
      </c>
      <c r="X30" s="16">
        <f t="shared" si="12"/>
        <v>23</v>
      </c>
      <c r="Y30" s="16">
        <f t="shared" si="13"/>
        <v>21</v>
      </c>
      <c r="Z30" s="16">
        <f t="shared" si="14"/>
        <v>23</v>
      </c>
      <c r="AA30" s="16">
        <f t="shared" si="15"/>
        <v>24</v>
      </c>
    </row>
    <row r="31" spans="1:27" x14ac:dyDescent="0.3">
      <c r="A31" s="5" t="s">
        <v>30</v>
      </c>
      <c r="B31" s="13">
        <v>78.400000000000006</v>
      </c>
      <c r="C31" s="13">
        <v>316</v>
      </c>
      <c r="D31" s="13">
        <v>3.9</v>
      </c>
      <c r="E31" s="14">
        <v>6.3</v>
      </c>
      <c r="F31" s="6">
        <f t="shared" si="18"/>
        <v>89.772727272727323</v>
      </c>
      <c r="G31" s="6">
        <f>'z2(Rev)'!D30</f>
        <v>90.26229508196721</v>
      </c>
      <c r="H31" s="6">
        <f t="shared" si="16"/>
        <v>91.428571428571431</v>
      </c>
      <c r="I31" s="6">
        <f t="shared" si="17"/>
        <v>97.413793103448285</v>
      </c>
      <c r="J31" s="6"/>
      <c r="K31" s="9">
        <f t="shared" si="1"/>
        <v>92.219346721678562</v>
      </c>
      <c r="L31" s="10">
        <f t="shared" si="2"/>
        <v>92.169725665074822</v>
      </c>
      <c r="M31" s="9">
        <f>TOPSIS!H29</f>
        <v>0.37175066532287088</v>
      </c>
      <c r="N31" s="9">
        <f t="shared" si="3"/>
        <v>3.3168109969787328E-2</v>
      </c>
      <c r="O31" s="9">
        <f t="shared" si="4"/>
        <v>0.96683189003021264</v>
      </c>
      <c r="P31" s="9">
        <f t="shared" si="5"/>
        <v>0.99889987648103207</v>
      </c>
      <c r="Q31" s="9">
        <f t="shared" si="6"/>
        <v>0.9678966959493579</v>
      </c>
      <c r="R31" s="9">
        <f t="shared" si="7"/>
        <v>0.96737592038203057</v>
      </c>
      <c r="S31" s="29"/>
      <c r="T31" s="45">
        <f t="shared" si="8"/>
        <v>89.160605288271981</v>
      </c>
      <c r="U31" s="45">
        <f t="shared" si="9"/>
        <v>92.117894049446178</v>
      </c>
      <c r="V31" s="45">
        <f t="shared" si="10"/>
        <v>89.258800994520925</v>
      </c>
      <c r="W31" s="45">
        <f t="shared" si="11"/>
        <v>89.210775411913389</v>
      </c>
      <c r="X31" s="16">
        <f t="shared" si="12"/>
        <v>12</v>
      </c>
      <c r="Y31" s="16">
        <f t="shared" si="13"/>
        <v>24</v>
      </c>
      <c r="Z31" s="16">
        <f t="shared" si="14"/>
        <v>16</v>
      </c>
      <c r="AA31" s="16">
        <f t="shared" si="15"/>
        <v>14</v>
      </c>
    </row>
    <row r="32" spans="1:27" x14ac:dyDescent="0.3">
      <c r="A32" s="3" t="s">
        <v>31</v>
      </c>
      <c r="B32" s="11">
        <v>82.5</v>
      </c>
      <c r="C32" s="11">
        <v>180</v>
      </c>
      <c r="D32" s="11">
        <v>5.8</v>
      </c>
      <c r="E32" s="12">
        <v>3.4</v>
      </c>
      <c r="F32" s="41">
        <f t="shared" si="18"/>
        <v>117.72727272727275</v>
      </c>
      <c r="G32" s="4">
        <f>'z2(Rev)'!D31</f>
        <v>117.01639344262296</v>
      </c>
      <c r="H32" s="41">
        <f t="shared" si="16"/>
        <v>118.57142857142858</v>
      </c>
      <c r="I32" s="41">
        <f t="shared" si="17"/>
        <v>82.41379310344827</v>
      </c>
      <c r="J32" s="6"/>
      <c r="K32" s="9">
        <f t="shared" si="1"/>
        <v>108.93222196119314</v>
      </c>
      <c r="L32" s="10">
        <f t="shared" si="2"/>
        <v>107.7149382514491</v>
      </c>
      <c r="M32" s="9">
        <f>TOPSIS!H30</f>
        <v>0.61628737484480622</v>
      </c>
      <c r="N32" s="9">
        <f t="shared" si="3"/>
        <v>0.14064079492144305</v>
      </c>
      <c r="O32" s="9">
        <f t="shared" si="4"/>
        <v>0.85935920507855701</v>
      </c>
      <c r="P32" s="9">
        <f t="shared" si="5"/>
        <v>0.98022016680386459</v>
      </c>
      <c r="Q32" s="9">
        <f t="shared" si="6"/>
        <v>0.87670018857152221</v>
      </c>
      <c r="R32" s="9">
        <f t="shared" si="7"/>
        <v>0.86880133350565614</v>
      </c>
      <c r="S32" s="29"/>
      <c r="T32" s="45">
        <f t="shared" si="8"/>
        <v>93.611907672011867</v>
      </c>
      <c r="U32" s="45">
        <f t="shared" si="9"/>
        <v>106.77756078111634</v>
      </c>
      <c r="V32" s="45">
        <f t="shared" si="10"/>
        <v>95.500899534892937</v>
      </c>
      <c r="W32" s="45">
        <f t="shared" si="11"/>
        <v>94.640459701618724</v>
      </c>
      <c r="X32" s="16">
        <f t="shared" si="12"/>
        <v>5</v>
      </c>
      <c r="Y32" s="16">
        <f t="shared" si="13"/>
        <v>8</v>
      </c>
      <c r="Z32" s="16">
        <f t="shared" si="14"/>
        <v>6</v>
      </c>
      <c r="AA32" s="16">
        <f t="shared" si="15"/>
        <v>6</v>
      </c>
    </row>
    <row r="33" spans="1:27" x14ac:dyDescent="0.3">
      <c r="A33" s="5" t="s">
        <v>32</v>
      </c>
      <c r="B33" s="13">
        <v>78.2</v>
      </c>
      <c r="C33" s="13">
        <v>297</v>
      </c>
      <c r="D33" s="13">
        <v>3.8</v>
      </c>
      <c r="E33" s="14">
        <v>5.7</v>
      </c>
      <c r="F33" s="6">
        <f t="shared" si="18"/>
        <v>88.409090909090935</v>
      </c>
      <c r="G33" s="6">
        <f>'z2(Rev)'!D32</f>
        <v>94</v>
      </c>
      <c r="H33" s="6">
        <f t="shared" si="16"/>
        <v>90</v>
      </c>
      <c r="I33" s="6">
        <f t="shared" si="17"/>
        <v>94.310344827586206</v>
      </c>
      <c r="J33" s="6"/>
      <c r="K33" s="9">
        <f t="shared" si="1"/>
        <v>91.679858934169289</v>
      </c>
      <c r="L33" s="10">
        <f t="shared" si="2"/>
        <v>91.644552555122033</v>
      </c>
      <c r="M33" s="9">
        <f>TOPSIS!H31</f>
        <v>0.36239952903395478</v>
      </c>
      <c r="N33" s="9">
        <f t="shared" si="3"/>
        <v>2.7713669575712613E-2</v>
      </c>
      <c r="O33" s="9">
        <f t="shared" si="4"/>
        <v>0.97228633042428736</v>
      </c>
      <c r="P33" s="9">
        <f t="shared" si="5"/>
        <v>0.99923195251864827</v>
      </c>
      <c r="Q33" s="9">
        <f t="shared" si="6"/>
        <v>0.97303366648109879</v>
      </c>
      <c r="R33" s="9">
        <f t="shared" si="7"/>
        <v>0.97266683103937446</v>
      </c>
      <c r="S33" s="29"/>
      <c r="T33" s="45">
        <f t="shared" si="8"/>
        <v>89.139073616919774</v>
      </c>
      <c r="U33" s="45">
        <f t="shared" si="9"/>
        <v>91.609444449424217</v>
      </c>
      <c r="V33" s="45">
        <f t="shared" si="10"/>
        <v>89.207589281184667</v>
      </c>
      <c r="W33" s="45">
        <f t="shared" si="11"/>
        <v>89.173957859635323</v>
      </c>
      <c r="X33" s="16">
        <f t="shared" si="12"/>
        <v>13</v>
      </c>
      <c r="Y33" s="16">
        <f t="shared" si="13"/>
        <v>25</v>
      </c>
      <c r="Z33" s="16">
        <f t="shared" si="14"/>
        <v>17</v>
      </c>
      <c r="AA33" s="16">
        <f t="shared" si="15"/>
        <v>16</v>
      </c>
    </row>
    <row r="34" spans="1:27" x14ac:dyDescent="0.3">
      <c r="A34" s="3" t="s">
        <v>33</v>
      </c>
      <c r="B34" s="11">
        <v>82</v>
      </c>
      <c r="C34" s="11">
        <v>187</v>
      </c>
      <c r="D34" s="11">
        <v>3.5</v>
      </c>
      <c r="E34" s="12">
        <v>4.0999999999999996</v>
      </c>
      <c r="F34" s="41">
        <f t="shared" si="18"/>
        <v>114.31818181818184</v>
      </c>
      <c r="G34" s="4">
        <f>'z2(Rev)'!D33</f>
        <v>115.63934426229508</v>
      </c>
      <c r="H34" s="41">
        <f t="shared" si="16"/>
        <v>85.714285714285722</v>
      </c>
      <c r="I34" s="41">
        <f t="shared" si="17"/>
        <v>86.034482758620683</v>
      </c>
      <c r="J34" s="6"/>
      <c r="K34" s="9">
        <f t="shared" si="1"/>
        <v>100.42657363834584</v>
      </c>
      <c r="L34" s="10">
        <f t="shared" si="2"/>
        <v>99.365740377265553</v>
      </c>
      <c r="M34" s="9">
        <f>TOPSIS!H32</f>
        <v>0.50575397568175184</v>
      </c>
      <c r="N34" s="9">
        <f t="shared" si="3"/>
        <v>0.14498278339563378</v>
      </c>
      <c r="O34" s="9">
        <f t="shared" si="4"/>
        <v>0.85501721660436625</v>
      </c>
      <c r="P34" s="9">
        <f t="shared" si="5"/>
        <v>0.9789799925188547</v>
      </c>
      <c r="Q34" s="9">
        <f t="shared" si="6"/>
        <v>0.87337557778321895</v>
      </c>
      <c r="R34" s="9">
        <f t="shared" si="7"/>
        <v>0.8650371859855317</v>
      </c>
      <c r="S34" s="29"/>
      <c r="T34" s="45">
        <f t="shared" si="8"/>
        <v>85.866449465371886</v>
      </c>
      <c r="U34" s="45">
        <f t="shared" si="9"/>
        <v>98.315606309162021</v>
      </c>
      <c r="V34" s="45">
        <f t="shared" si="10"/>
        <v>87.710116776179291</v>
      </c>
      <c r="W34" s="45">
        <f t="shared" si="11"/>
        <v>86.87272065828347</v>
      </c>
      <c r="X34" s="16">
        <f t="shared" si="12"/>
        <v>19</v>
      </c>
      <c r="Y34" s="16">
        <f t="shared" si="13"/>
        <v>20</v>
      </c>
      <c r="Z34" s="16">
        <f t="shared" si="14"/>
        <v>20</v>
      </c>
      <c r="AA34" s="16">
        <f t="shared" si="15"/>
        <v>20</v>
      </c>
    </row>
    <row r="35" spans="1:27" x14ac:dyDescent="0.3">
      <c r="A35" s="5" t="s">
        <v>34</v>
      </c>
      <c r="B35" s="13">
        <v>84</v>
      </c>
      <c r="C35" s="13">
        <v>142</v>
      </c>
      <c r="D35" s="13">
        <v>4.4000000000000004</v>
      </c>
      <c r="E35" s="14">
        <v>2.9</v>
      </c>
      <c r="F35" s="6">
        <f t="shared" si="18"/>
        <v>127.95454545454547</v>
      </c>
      <c r="G35" s="6">
        <f>'z2(Rev)'!D34</f>
        <v>124.49180327868854</v>
      </c>
      <c r="H35" s="6">
        <f t="shared" si="16"/>
        <v>98.571428571428584</v>
      </c>
      <c r="I35" s="6">
        <f t="shared" si="17"/>
        <v>79.827586206896555</v>
      </c>
      <c r="J35" s="6"/>
      <c r="K35" s="9">
        <f t="shared" si="1"/>
        <v>107.71134087788978</v>
      </c>
      <c r="L35" s="10">
        <f t="shared" si="2"/>
        <v>105.80961425023057</v>
      </c>
      <c r="M35" s="9">
        <f>TOPSIS!H33</f>
        <v>0.58852699868034986</v>
      </c>
      <c r="N35" s="9">
        <f t="shared" si="3"/>
        <v>0.18289937036352635</v>
      </c>
      <c r="O35" s="9">
        <f t="shared" si="4"/>
        <v>0.81710062963647367</v>
      </c>
      <c r="P35" s="9">
        <f t="shared" si="5"/>
        <v>0.96654782032062558</v>
      </c>
      <c r="Q35" s="9">
        <f t="shared" si="6"/>
        <v>0.84538044829010417</v>
      </c>
      <c r="R35" s="9">
        <f t="shared" si="7"/>
        <v>0.83285196111045101</v>
      </c>
      <c r="S35" s="29"/>
      <c r="T35" s="45">
        <f t="shared" si="8"/>
        <v>88.011004450312583</v>
      </c>
      <c r="U35" s="45">
        <f t="shared" si="9"/>
        <v>104.10816174933626</v>
      </c>
      <c r="V35" s="45">
        <f t="shared" si="10"/>
        <v>91.057061637278693</v>
      </c>
      <c r="W35" s="45">
        <f t="shared" si="11"/>
        <v>89.707601483986792</v>
      </c>
      <c r="X35" s="16">
        <f t="shared" si="12"/>
        <v>16</v>
      </c>
      <c r="Y35" s="16">
        <f t="shared" si="13"/>
        <v>11</v>
      </c>
      <c r="Z35" s="16">
        <f t="shared" si="14"/>
        <v>13</v>
      </c>
      <c r="AA35" s="16">
        <f t="shared" si="15"/>
        <v>13</v>
      </c>
    </row>
    <row r="36" spans="1:27" x14ac:dyDescent="0.3">
      <c r="A36" s="3" t="s">
        <v>35</v>
      </c>
      <c r="B36" s="11">
        <v>83.4</v>
      </c>
      <c r="C36" s="11">
        <v>133</v>
      </c>
      <c r="D36" s="11">
        <v>4.5</v>
      </c>
      <c r="E36" s="12">
        <v>1.9</v>
      </c>
      <c r="F36" s="41">
        <f t="shared" si="18"/>
        <v>123.86363636363643</v>
      </c>
      <c r="G36" s="4">
        <f>'z2(Rev)'!D35</f>
        <v>126.26229508196721</v>
      </c>
      <c r="H36" s="41">
        <f t="shared" si="16"/>
        <v>100</v>
      </c>
      <c r="I36" s="41">
        <f t="shared" si="17"/>
        <v>74.65517241379311</v>
      </c>
      <c r="J36" s="6"/>
      <c r="K36" s="9">
        <f t="shared" si="1"/>
        <v>106.1952759648492</v>
      </c>
      <c r="L36" s="10">
        <f t="shared" si="2"/>
        <v>103.94876932147561</v>
      </c>
      <c r="M36" s="9">
        <f>TOPSIS!H34</f>
        <v>0.56884691254012754</v>
      </c>
      <c r="N36" s="9">
        <f t="shared" si="3"/>
        <v>0.19685093520191846</v>
      </c>
      <c r="O36" s="9">
        <f t="shared" si="4"/>
        <v>0.80314906479808157</v>
      </c>
      <c r="P36" s="9">
        <f t="shared" si="5"/>
        <v>0.9612497093101301</v>
      </c>
      <c r="Q36" s="9">
        <f t="shared" si="6"/>
        <v>0.83552593776541761</v>
      </c>
      <c r="R36" s="9">
        <f t="shared" si="7"/>
        <v>0.82131305305260938</v>
      </c>
      <c r="S36" s="29"/>
      <c r="T36" s="45">
        <f t="shared" si="8"/>
        <v>85.29063657714282</v>
      </c>
      <c r="U36" s="45">
        <f t="shared" si="9"/>
        <v>102.08017815132034</v>
      </c>
      <c r="V36" s="45">
        <f t="shared" si="10"/>
        <v>88.728907536787943</v>
      </c>
      <c r="W36" s="45">
        <f t="shared" si="11"/>
        <v>87.219566322454682</v>
      </c>
      <c r="X36" s="16">
        <f t="shared" si="12"/>
        <v>20</v>
      </c>
      <c r="Y36" s="16">
        <f t="shared" si="13"/>
        <v>13</v>
      </c>
      <c r="Z36" s="16">
        <f t="shared" si="14"/>
        <v>18</v>
      </c>
      <c r="AA36" s="16">
        <f t="shared" si="15"/>
        <v>18</v>
      </c>
    </row>
    <row r="37" spans="1:27" x14ac:dyDescent="0.3">
      <c r="A37" s="5" t="s">
        <v>36</v>
      </c>
      <c r="B37" s="13">
        <v>84.3</v>
      </c>
      <c r="C37" s="13">
        <v>114</v>
      </c>
      <c r="D37" s="13">
        <v>4.5</v>
      </c>
      <c r="E37" s="14">
        <v>4.4000000000000004</v>
      </c>
      <c r="F37" s="7">
        <f t="shared" si="18"/>
        <v>130</v>
      </c>
      <c r="G37" s="7">
        <f>'z2(Rev)'!D36</f>
        <v>130</v>
      </c>
      <c r="H37" s="6">
        <f t="shared" si="16"/>
        <v>100</v>
      </c>
      <c r="I37" s="6">
        <f t="shared" si="17"/>
        <v>87.58620689655173</v>
      </c>
      <c r="J37" s="6"/>
      <c r="K37" s="9">
        <f t="shared" si="1"/>
        <v>111.89655172413794</v>
      </c>
      <c r="L37" s="10">
        <f t="shared" si="2"/>
        <v>110.3012936028845</v>
      </c>
      <c r="M37" s="9">
        <f>TOPSIS!H35</f>
        <v>0.63835695179622209</v>
      </c>
      <c r="N37" s="9">
        <f t="shared" si="3"/>
        <v>0.16647405028076176</v>
      </c>
      <c r="O37" s="9">
        <f t="shared" si="4"/>
        <v>0.83352594971923821</v>
      </c>
      <c r="P37" s="9">
        <f t="shared" si="5"/>
        <v>0.97228639058311839</v>
      </c>
      <c r="Q37" s="9">
        <f t="shared" si="6"/>
        <v>0.85728439459009598</v>
      </c>
      <c r="R37" s="9">
        <f t="shared" si="7"/>
        <v>0.84664478684489508</v>
      </c>
      <c r="S37" s="29"/>
      <c r="T37" s="45">
        <f t="shared" si="8"/>
        <v>93.268679546169935</v>
      </c>
      <c r="U37" s="45">
        <f t="shared" si="9"/>
        <v>108.79549439455928</v>
      </c>
      <c r="V37" s="45">
        <f t="shared" si="10"/>
        <v>95.927167601546955</v>
      </c>
      <c r="W37" s="45">
        <f t="shared" si="11"/>
        <v>94.736632183161547</v>
      </c>
      <c r="X37" s="16">
        <f t="shared" si="12"/>
        <v>6</v>
      </c>
      <c r="Y37" s="16">
        <f t="shared" si="13"/>
        <v>3</v>
      </c>
      <c r="Z37" s="16">
        <f t="shared" si="14"/>
        <v>5</v>
      </c>
      <c r="AA37" s="16">
        <f t="shared" si="15"/>
        <v>5</v>
      </c>
    </row>
    <row r="38" spans="1:27" x14ac:dyDescent="0.3">
      <c r="A38" s="3" t="s">
        <v>37</v>
      </c>
      <c r="B38" s="11">
        <v>77.3</v>
      </c>
      <c r="C38" s="11">
        <v>287</v>
      </c>
      <c r="D38" s="11">
        <v>2.4</v>
      </c>
      <c r="E38" s="12">
        <v>3.1</v>
      </c>
      <c r="F38" s="41">
        <f t="shared" si="18"/>
        <v>82.272727272727252</v>
      </c>
      <c r="G38" s="4">
        <f>'z2(Rev)'!D37</f>
        <v>95.967213114754102</v>
      </c>
      <c r="H38" s="42">
        <f t="shared" si="16"/>
        <v>70</v>
      </c>
      <c r="I38" s="41">
        <f t="shared" si="17"/>
        <v>80.862068965517238</v>
      </c>
      <c r="J38" s="6"/>
      <c r="K38" s="9">
        <f t="shared" si="1"/>
        <v>82.275502338249652</v>
      </c>
      <c r="L38" s="10">
        <f t="shared" si="2"/>
        <v>81.76273616670305</v>
      </c>
      <c r="M38" s="9">
        <f>TOPSIS!H36</f>
        <v>0.24004378069250057</v>
      </c>
      <c r="N38" s="9">
        <f t="shared" si="3"/>
        <v>0.11208148374965721</v>
      </c>
      <c r="O38" s="9">
        <f t="shared" si="4"/>
        <v>0.88791851625034279</v>
      </c>
      <c r="P38" s="9">
        <f t="shared" si="5"/>
        <v>0.98743774100047532</v>
      </c>
      <c r="Q38" s="9">
        <f t="shared" si="6"/>
        <v>0.89921468400701476</v>
      </c>
      <c r="R38" s="9">
        <f t="shared" si="7"/>
        <v>0.89397141038986483</v>
      </c>
      <c r="S38" s="29"/>
      <c r="T38" s="45">
        <f t="shared" si="8"/>
        <v>73.053941959930242</v>
      </c>
      <c r="U38" s="45">
        <f t="shared" si="9"/>
        <v>81.241936168560557</v>
      </c>
      <c r="V38" s="45">
        <f t="shared" si="10"/>
        <v>73.98333983660757</v>
      </c>
      <c r="W38" s="45">
        <f t="shared" si="11"/>
        <v>73.551946865859662</v>
      </c>
      <c r="X38" s="16">
        <f t="shared" si="12"/>
        <v>32</v>
      </c>
      <c r="Y38" s="16">
        <f t="shared" si="13"/>
        <v>32</v>
      </c>
      <c r="Z38" s="16">
        <f t="shared" si="14"/>
        <v>32</v>
      </c>
      <c r="AA38" s="16">
        <f t="shared" si="15"/>
        <v>32</v>
      </c>
    </row>
    <row r="39" spans="1:27" x14ac:dyDescent="0.3">
      <c r="A39" s="5" t="s">
        <v>38</v>
      </c>
      <c r="B39" s="13">
        <v>81</v>
      </c>
      <c r="C39" s="13">
        <v>227</v>
      </c>
      <c r="D39" s="13">
        <v>3.4</v>
      </c>
      <c r="E39" s="14">
        <v>2.4</v>
      </c>
      <c r="F39" s="6">
        <f t="shared" si="18"/>
        <v>107.50000000000001</v>
      </c>
      <c r="G39" s="6">
        <f>'z2(Rev)'!D38</f>
        <v>107.7704918032787</v>
      </c>
      <c r="H39" s="6">
        <f t="shared" si="16"/>
        <v>84.285714285714292</v>
      </c>
      <c r="I39" s="6">
        <f t="shared" si="17"/>
        <v>77.241379310344826</v>
      </c>
      <c r="J39" s="6"/>
      <c r="K39" s="9">
        <f t="shared" si="1"/>
        <v>94.199396349834458</v>
      </c>
      <c r="L39" s="10">
        <f t="shared" si="2"/>
        <v>93.191881551545933</v>
      </c>
      <c r="M39" s="9">
        <f>TOPSIS!H37</f>
        <v>0.42037001055715467</v>
      </c>
      <c r="N39" s="9">
        <f t="shared" si="3"/>
        <v>0.14506532529590652</v>
      </c>
      <c r="O39" s="9">
        <f t="shared" si="4"/>
        <v>0.85493467470409346</v>
      </c>
      <c r="P39" s="9">
        <f t="shared" si="5"/>
        <v>0.97895605139679287</v>
      </c>
      <c r="Q39" s="9">
        <f t="shared" si="6"/>
        <v>0.87331262060667258</v>
      </c>
      <c r="R39" s="9">
        <f t="shared" si="7"/>
        <v>0.86496578711913352</v>
      </c>
      <c r="S39" s="29"/>
      <c r="T39" s="45">
        <f t="shared" si="8"/>
        <v>80.534330275667685</v>
      </c>
      <c r="U39" s="45">
        <f t="shared" si="9"/>
        <v>92.217069094595402</v>
      </c>
      <c r="V39" s="45">
        <f t="shared" si="10"/>
        <v>82.265521685840554</v>
      </c>
      <c r="W39" s="45">
        <f t="shared" si="11"/>
        <v>81.479255009881797</v>
      </c>
      <c r="X39" s="16">
        <f t="shared" si="12"/>
        <v>26</v>
      </c>
      <c r="Y39" s="16">
        <f t="shared" si="13"/>
        <v>22</v>
      </c>
      <c r="Z39" s="16">
        <f t="shared" si="14"/>
        <v>26</v>
      </c>
      <c r="AA39" s="16">
        <f t="shared" si="15"/>
        <v>26</v>
      </c>
    </row>
    <row r="40" spans="1:27" x14ac:dyDescent="0.3">
      <c r="A40" s="3" t="s">
        <v>39</v>
      </c>
      <c r="B40" s="11">
        <v>78.400000000000006</v>
      </c>
      <c r="C40" s="11">
        <v>312</v>
      </c>
      <c r="D40" s="11">
        <v>2.7</v>
      </c>
      <c r="E40" s="12">
        <v>2.8</v>
      </c>
      <c r="F40" s="41">
        <f t="shared" si="18"/>
        <v>89.772727272727323</v>
      </c>
      <c r="G40" s="4">
        <f>'z2(Rev)'!D39</f>
        <v>91.049180327868854</v>
      </c>
      <c r="H40" s="41">
        <f t="shared" si="16"/>
        <v>74.285714285714292</v>
      </c>
      <c r="I40" s="41">
        <f t="shared" si="17"/>
        <v>79.310344827586206</v>
      </c>
      <c r="J40" s="6"/>
      <c r="K40" s="9">
        <f t="shared" si="1"/>
        <v>83.604491678474176</v>
      </c>
      <c r="L40" s="10">
        <f t="shared" si="2"/>
        <v>83.303624991454043</v>
      </c>
      <c r="M40" s="9">
        <f>TOPSIS!H38</f>
        <v>0.24613917956039189</v>
      </c>
      <c r="N40" s="9">
        <f t="shared" si="3"/>
        <v>8.4312851030157301E-2</v>
      </c>
      <c r="O40" s="9">
        <f t="shared" si="4"/>
        <v>0.91568714896984271</v>
      </c>
      <c r="P40" s="9">
        <f t="shared" si="5"/>
        <v>0.99289134315116645</v>
      </c>
      <c r="Q40" s="9">
        <f t="shared" si="6"/>
        <v>0.92224305840325005</v>
      </c>
      <c r="R40" s="9">
        <f t="shared" si="7"/>
        <v>0.91914365606982429</v>
      </c>
      <c r="S40" s="29"/>
      <c r="T40" s="45">
        <f t="shared" si="8"/>
        <v>76.555558626134953</v>
      </c>
      <c r="U40" s="45">
        <f t="shared" si="9"/>
        <v>83.010176036110749</v>
      </c>
      <c r="V40" s="45">
        <f t="shared" si="10"/>
        <v>77.103662101805085</v>
      </c>
      <c r="W40" s="45">
        <f t="shared" si="11"/>
        <v>76.844538145211956</v>
      </c>
      <c r="X40" s="16">
        <f t="shared" si="12"/>
        <v>29</v>
      </c>
      <c r="Y40" s="16">
        <f t="shared" si="13"/>
        <v>31</v>
      </c>
      <c r="Z40" s="16">
        <f t="shared" si="14"/>
        <v>30</v>
      </c>
      <c r="AA40" s="16">
        <f t="shared" si="15"/>
        <v>30</v>
      </c>
    </row>
    <row r="41" spans="1:27" x14ac:dyDescent="0.3">
      <c r="S41" s="29"/>
    </row>
    <row r="42" spans="1:27" x14ac:dyDescent="0.3">
      <c r="A42" s="51" t="s">
        <v>77</v>
      </c>
      <c r="B42" s="59">
        <f>MAX(B6:B40)</f>
        <v>84.3</v>
      </c>
      <c r="C42" s="51"/>
      <c r="D42" s="59">
        <f>MAX(D6:D40)</f>
        <v>6.6</v>
      </c>
      <c r="E42" s="59">
        <f>MAX(E6:E40)</f>
        <v>12.6</v>
      </c>
      <c r="N42" s="50" t="s">
        <v>51</v>
      </c>
      <c r="O42" s="18">
        <f>AVERAGE(O6:O40)</f>
        <v>0.86921340948306813</v>
      </c>
      <c r="P42" s="18">
        <f t="shared" ref="P42:R42" si="19">AVERAGE(P6:P40)</f>
        <v>0.97962874749896567</v>
      </c>
      <c r="Q42" s="18">
        <f t="shared" si="19"/>
        <v>0.88666979008476121</v>
      </c>
      <c r="R42" s="18">
        <f t="shared" si="19"/>
        <v>0.87885267450652538</v>
      </c>
      <c r="S42" s="49" t="s">
        <v>51</v>
      </c>
      <c r="T42" s="46">
        <f>AVERAGE(T6:T40)</f>
        <v>85.513952675006621</v>
      </c>
      <c r="U42" s="46">
        <f t="shared" ref="U42:W42" si="20">AVERAGE(U6:U40)</f>
        <v>96.688533108766492</v>
      </c>
      <c r="V42" s="46">
        <f t="shared" si="20"/>
        <v>87.308633103430324</v>
      </c>
      <c r="W42" s="46">
        <f t="shared" si="20"/>
        <v>86.505741139610208</v>
      </c>
    </row>
    <row r="43" spans="1:27" x14ac:dyDescent="0.3">
      <c r="A43" s="51" t="s">
        <v>78</v>
      </c>
      <c r="B43" s="59">
        <f>MIN(B6:B40)</f>
        <v>75.5</v>
      </c>
      <c r="C43" s="51"/>
      <c r="D43" s="59">
        <f>MIN(D6:D40)</f>
        <v>2.4</v>
      </c>
      <c r="E43" s="59">
        <f>MIN(E6:E40)</f>
        <v>1</v>
      </c>
      <c r="N43" s="50" t="s">
        <v>52</v>
      </c>
      <c r="O43" s="55">
        <f>_xlfn.STDEV.P(O6:O40)</f>
        <v>5.714998024488533E-2</v>
      </c>
      <c r="P43" s="55">
        <f t="shared" ref="P43:R43" si="21">_xlfn.STDEV.P(P6:P40)</f>
        <v>1.3552241087076509E-2</v>
      </c>
      <c r="Q43" s="55">
        <f t="shared" si="21"/>
        <v>4.6136979673335847E-2</v>
      </c>
      <c r="R43" s="55">
        <f t="shared" si="21"/>
        <v>5.0950028873311314E-2</v>
      </c>
      <c r="S43" s="49" t="s">
        <v>52</v>
      </c>
      <c r="T43" s="47">
        <f>_xlfn.STDEV.P(T6:T40)</f>
        <v>8.4264364762589299</v>
      </c>
      <c r="U43" s="47">
        <f t="shared" ref="U43:W43" si="22">_xlfn.STDEV.P(U6:U40)</f>
        <v>10.35733059148623</v>
      </c>
      <c r="V43" s="47">
        <f t="shared" si="22"/>
        <v>8.6060335967709456</v>
      </c>
      <c r="W43" s="47">
        <f t="shared" si="22"/>
        <v>8.5054617960083405</v>
      </c>
    </row>
    <row r="44" spans="1:27" x14ac:dyDescent="0.3">
      <c r="N44" s="50" t="s">
        <v>53</v>
      </c>
      <c r="O44" s="21">
        <f>O43/O42</f>
        <v>6.574907798405126E-2</v>
      </c>
      <c r="P44" s="21">
        <f t="shared" ref="P44:R44" si="23">P43/P42</f>
        <v>1.3834058179362297E-2</v>
      </c>
      <c r="Q44" s="21">
        <f t="shared" si="23"/>
        <v>5.2034004303817979E-2</v>
      </c>
      <c r="R44" s="21">
        <f t="shared" si="23"/>
        <v>5.7973344510693657E-2</v>
      </c>
      <c r="S44" s="49" t="s">
        <v>53</v>
      </c>
      <c r="T44" s="48">
        <f>T43/T42</f>
        <v>9.8538732132794349E-2</v>
      </c>
      <c r="U44" s="48">
        <f t="shared" ref="U44" si="24">U43/U42</f>
        <v>0.10712056805986601</v>
      </c>
      <c r="V44" s="48">
        <f t="shared" ref="V44" si="25">V43/V42</f>
        <v>9.8570247762048827E-2</v>
      </c>
      <c r="W44" s="48">
        <f t="shared" ref="W44" si="26">W43/W42</f>
        <v>9.8322512285993993E-2</v>
      </c>
    </row>
    <row r="45" spans="1:27" x14ac:dyDescent="0.3">
      <c r="N45" s="50" t="s">
        <v>56</v>
      </c>
      <c r="O45" s="21">
        <f>O43/SQRT(35)</f>
        <v>9.6601097923231013E-3</v>
      </c>
      <c r="P45" s="21">
        <f t="shared" ref="P45:W45" si="27">P43/SQRT(35)</f>
        <v>2.2907468431698657E-3</v>
      </c>
      <c r="Q45" s="21">
        <f t="shared" si="27"/>
        <v>7.7985729342485753E-3</v>
      </c>
      <c r="R45" s="21">
        <f t="shared" si="27"/>
        <v>8.6121267361639643E-3</v>
      </c>
      <c r="S45" s="49" t="s">
        <v>56</v>
      </c>
      <c r="T45" s="48">
        <f t="shared" si="27"/>
        <v>1.4243277280219606</v>
      </c>
      <c r="U45" s="48">
        <f t="shared" si="27"/>
        <v>1.7507084034048821</v>
      </c>
      <c r="V45" s="48">
        <f t="shared" si="27"/>
        <v>1.4546851821295046</v>
      </c>
      <c r="W45" s="48">
        <f t="shared" si="27"/>
        <v>1.4376854450654597</v>
      </c>
    </row>
    <row r="46" spans="1:27" x14ac:dyDescent="0.3">
      <c r="K46" s="57" t="s">
        <v>63</v>
      </c>
      <c r="L46" s="56">
        <f>MEDIAN(L6:L40)</f>
        <v>100.56096545887196</v>
      </c>
      <c r="N46" s="54" t="s">
        <v>63</v>
      </c>
      <c r="O46" s="52"/>
      <c r="P46" s="52"/>
      <c r="Q46" s="53">
        <f>MEDIAN(Q6:Q40)</f>
        <v>0.87337557778321895</v>
      </c>
      <c r="R46" s="52"/>
    </row>
    <row r="47" spans="1:27" x14ac:dyDescent="0.3">
      <c r="K47" s="57"/>
      <c r="L47" s="56"/>
      <c r="N47" s="54"/>
      <c r="O47" s="52"/>
      <c r="P47" s="52"/>
      <c r="Q47" s="53"/>
      <c r="R47" s="52"/>
    </row>
    <row r="48" spans="1:27" ht="41.4" x14ac:dyDescent="0.3">
      <c r="N48" s="58" t="s">
        <v>112</v>
      </c>
    </row>
    <row r="49" spans="1:19" ht="15.6" x14ac:dyDescent="0.3">
      <c r="A49" s="35" t="s">
        <v>113</v>
      </c>
      <c r="B49" s="26"/>
      <c r="C49" s="26"/>
      <c r="D49" s="26"/>
      <c r="E49" s="26"/>
      <c r="F49" s="26"/>
      <c r="G49" s="26"/>
      <c r="H49" s="26"/>
      <c r="I49" s="26"/>
      <c r="K49" s="35" t="s">
        <v>62</v>
      </c>
    </row>
    <row r="50" spans="1:19" ht="22.2" customHeight="1" x14ac:dyDescent="0.3">
      <c r="A50" s="63" t="s">
        <v>0</v>
      </c>
      <c r="B50" s="61" t="s">
        <v>100</v>
      </c>
      <c r="C50" s="62"/>
      <c r="D50" s="62"/>
      <c r="E50" s="62"/>
      <c r="F50" s="61" t="s">
        <v>61</v>
      </c>
      <c r="G50" s="62"/>
      <c r="H50" s="62"/>
      <c r="I50" s="62"/>
      <c r="K50" s="61" t="s">
        <v>101</v>
      </c>
      <c r="L50" s="62"/>
      <c r="M50" s="62"/>
      <c r="N50" s="62"/>
      <c r="O50" s="61" t="s">
        <v>61</v>
      </c>
      <c r="P50" s="62"/>
      <c r="Q50" s="62"/>
      <c r="R50" s="62"/>
    </row>
    <row r="51" spans="1:19" ht="27.6" x14ac:dyDescent="0.3">
      <c r="A51" s="62"/>
      <c r="B51" s="1" t="s">
        <v>84</v>
      </c>
      <c r="C51" s="1" t="s">
        <v>85</v>
      </c>
      <c r="D51" s="1" t="s">
        <v>86</v>
      </c>
      <c r="E51" s="1" t="s">
        <v>87</v>
      </c>
      <c r="F51" s="1" t="s">
        <v>88</v>
      </c>
      <c r="G51" s="1" t="s">
        <v>89</v>
      </c>
      <c r="H51" s="1" t="s">
        <v>90</v>
      </c>
      <c r="I51" s="2" t="s">
        <v>91</v>
      </c>
      <c r="K51" s="1" t="s">
        <v>92</v>
      </c>
      <c r="L51" s="1" t="s">
        <v>93</v>
      </c>
      <c r="M51" s="1" t="s">
        <v>94</v>
      </c>
      <c r="N51" s="1" t="s">
        <v>95</v>
      </c>
      <c r="O51" s="1" t="s">
        <v>96</v>
      </c>
      <c r="P51" s="1" t="s">
        <v>97</v>
      </c>
      <c r="Q51" s="1" t="s">
        <v>98</v>
      </c>
      <c r="R51" s="2" t="s">
        <v>99</v>
      </c>
      <c r="S51" s="30"/>
    </row>
    <row r="52" spans="1:19" x14ac:dyDescent="0.3">
      <c r="A52" t="s">
        <v>5</v>
      </c>
      <c r="B52" s="9">
        <f t="shared" ref="B52:B86" si="28">L6*O6</f>
        <v>88.46222489602566</v>
      </c>
      <c r="C52" s="9">
        <f t="shared" ref="C52:C86" si="29">L6*P6</f>
        <v>102.33727982960654</v>
      </c>
      <c r="D52" s="9">
        <f t="shared" ref="D52:D86" si="30">L6*Q6</f>
        <v>90.69337753383148</v>
      </c>
      <c r="E52" s="9">
        <f t="shared" ref="E52:E86" si="31">L6*R6</f>
        <v>89.687868004350847</v>
      </c>
      <c r="F52" s="16">
        <f>RANK(B52,B$52:B$86)</f>
        <v>11</v>
      </c>
      <c r="G52" s="16">
        <f t="shared" ref="G52:I52" si="32">RANK(C52,C$52:C$86)</f>
        <v>11</v>
      </c>
      <c r="H52" s="16">
        <f t="shared" si="32"/>
        <v>11</v>
      </c>
      <c r="I52" s="16">
        <f t="shared" si="32"/>
        <v>11</v>
      </c>
      <c r="K52" s="9">
        <f t="shared" ref="K52:K86" si="33">M6*O6</f>
        <v>0.48825699326012806</v>
      </c>
      <c r="L52" s="9">
        <f t="shared" ref="L52:L86" si="34">M6*P6</f>
        <v>0.5648387501756007</v>
      </c>
      <c r="M52" s="9">
        <f t="shared" ref="M52:M86" si="35">M6*Q6</f>
        <v>0.50057158154591763</v>
      </c>
      <c r="N52" s="9">
        <f t="shared" ref="N52:N86" si="36">M6*R6</f>
        <v>0.49502178828517091</v>
      </c>
      <c r="O52" s="16">
        <f t="shared" ref="O52:O53" si="37">RANK(K52,K$52:K$86)</f>
        <v>10</v>
      </c>
      <c r="P52" s="16">
        <f t="shared" ref="P52:P53" si="38">RANK(L52,L$52:L$86)</f>
        <v>12</v>
      </c>
      <c r="Q52" s="16">
        <f t="shared" ref="Q52:Q53" si="39">RANK(M52,M$52:M$86)</f>
        <v>11</v>
      </c>
      <c r="R52" s="16">
        <f t="shared" ref="R52:R53" si="40">RANK(N52,N$52:N$86)</f>
        <v>10</v>
      </c>
      <c r="S52" s="17"/>
    </row>
    <row r="53" spans="1:19" x14ac:dyDescent="0.3">
      <c r="A53" t="s">
        <v>6</v>
      </c>
      <c r="B53" s="9">
        <f t="shared" si="28"/>
        <v>103.72019380373413</v>
      </c>
      <c r="C53" s="9">
        <f t="shared" si="29"/>
        <v>110.49930980893313</v>
      </c>
      <c r="D53" s="9">
        <f t="shared" si="30"/>
        <v>104.16517539182401</v>
      </c>
      <c r="E53" s="9">
        <f t="shared" si="31"/>
        <v>103.95214568394933</v>
      </c>
      <c r="F53" s="17">
        <f>RANK(B53,B$52:B$86)</f>
        <v>1</v>
      </c>
      <c r="G53" s="17">
        <f t="shared" ref="G53:G54" si="41">RANK(C53,C$52:C$86)</f>
        <v>1</v>
      </c>
      <c r="H53" s="17">
        <f t="shared" ref="H53:H54" si="42">RANK(D53,D$52:D$86)</f>
        <v>1</v>
      </c>
      <c r="I53" s="17">
        <f t="shared" ref="I53:I54" si="43">RANK(E53,E$52:E$86)</f>
        <v>1</v>
      </c>
      <c r="K53" s="9">
        <f t="shared" si="33"/>
        <v>0.63106295538470236</v>
      </c>
      <c r="L53" s="9">
        <f t="shared" si="34"/>
        <v>0.6723090119552465</v>
      </c>
      <c r="M53" s="9">
        <f t="shared" si="35"/>
        <v>0.63377034905389606</v>
      </c>
      <c r="N53" s="9">
        <f t="shared" si="36"/>
        <v>0.63247421613988974</v>
      </c>
      <c r="O53" s="17">
        <f t="shared" si="37"/>
        <v>1</v>
      </c>
      <c r="P53" s="17">
        <f t="shared" si="38"/>
        <v>1</v>
      </c>
      <c r="Q53" s="17">
        <f t="shared" si="39"/>
        <v>1</v>
      </c>
      <c r="R53" s="17">
        <f t="shared" si="40"/>
        <v>1</v>
      </c>
      <c r="S53" s="17"/>
    </row>
    <row r="54" spans="1:19" x14ac:dyDescent="0.3">
      <c r="A54" t="s">
        <v>7</v>
      </c>
      <c r="B54" s="9">
        <f t="shared" si="28"/>
        <v>87.29993772733576</v>
      </c>
      <c r="C54" s="9">
        <f t="shared" si="29"/>
        <v>99.661817581776958</v>
      </c>
      <c r="D54" s="9">
        <f t="shared" si="30"/>
        <v>89.08622676800492</v>
      </c>
      <c r="E54" s="9">
        <f t="shared" si="31"/>
        <v>88.273083542314808</v>
      </c>
      <c r="F54" s="16">
        <f t="shared" ref="F54:F86" si="44">RANK(B54,B$52:B$86)</f>
        <v>14</v>
      </c>
      <c r="G54" s="16">
        <f t="shared" si="41"/>
        <v>16</v>
      </c>
      <c r="H54" s="16">
        <f t="shared" si="42"/>
        <v>16</v>
      </c>
      <c r="I54" s="16">
        <f t="shared" si="43"/>
        <v>15</v>
      </c>
      <c r="K54" s="9">
        <f t="shared" si="33"/>
        <v>0.46101191015428256</v>
      </c>
      <c r="L54" s="9">
        <f t="shared" si="34"/>
        <v>0.52629229858472237</v>
      </c>
      <c r="M54" s="9">
        <f t="shared" si="35"/>
        <v>0.47044491256143883</v>
      </c>
      <c r="N54" s="9">
        <f t="shared" si="36"/>
        <v>0.46615088072747307</v>
      </c>
      <c r="O54" s="16">
        <f t="shared" ref="O54:O86" si="45">RANK(K54,K$52:K$86)</f>
        <v>15</v>
      </c>
      <c r="P54" s="16">
        <f t="shared" ref="P54:P86" si="46">RANK(L54,L$52:L$86)</f>
        <v>16</v>
      </c>
      <c r="Q54" s="16">
        <f t="shared" ref="Q54:Q86" si="47">RANK(M54,M$52:M$86)</f>
        <v>16</v>
      </c>
      <c r="R54" s="16">
        <f t="shared" ref="R54:R86" si="48">RANK(N54,N$52:N$86)</f>
        <v>16</v>
      </c>
      <c r="S54" s="17"/>
    </row>
    <row r="55" spans="1:19" x14ac:dyDescent="0.3">
      <c r="A55" t="s">
        <v>8</v>
      </c>
      <c r="B55" s="9">
        <f t="shared" si="28"/>
        <v>74.368108036103237</v>
      </c>
      <c r="C55" s="9">
        <f t="shared" si="29"/>
        <v>89.380529242123529</v>
      </c>
      <c r="D55" s="9">
        <f t="shared" si="30"/>
        <v>77.527350500591297</v>
      </c>
      <c r="E55" s="9">
        <f t="shared" si="31"/>
        <v>76.145049545757175</v>
      </c>
      <c r="F55" s="17">
        <f t="shared" si="44"/>
        <v>31</v>
      </c>
      <c r="G55" s="17">
        <f t="shared" ref="G55:G86" si="49">RANK(C55,C$52:C$86)</f>
        <v>28</v>
      </c>
      <c r="H55" s="17">
        <f t="shared" ref="H55:H86" si="50">RANK(D55,D$52:D$86)</f>
        <v>29</v>
      </c>
      <c r="I55" s="17">
        <f t="shared" ref="I55:I86" si="51">RANK(E55,E$52:E$86)</f>
        <v>30</v>
      </c>
      <c r="K55" s="9">
        <f t="shared" si="33"/>
        <v>0.35342926610359332</v>
      </c>
      <c r="L55" s="9">
        <f t="shared" si="34"/>
        <v>0.4247747547733598</v>
      </c>
      <c r="M55" s="9">
        <f t="shared" si="35"/>
        <v>0.36844334640163268</v>
      </c>
      <c r="N55" s="9">
        <f t="shared" si="36"/>
        <v>0.36187405716054905</v>
      </c>
      <c r="O55" s="17">
        <f t="shared" si="45"/>
        <v>25</v>
      </c>
      <c r="P55" s="17">
        <f t="shared" si="46"/>
        <v>23</v>
      </c>
      <c r="Q55" s="17">
        <f t="shared" si="47"/>
        <v>23</v>
      </c>
      <c r="R55" s="17">
        <f t="shared" si="48"/>
        <v>24</v>
      </c>
      <c r="S55" s="17"/>
    </row>
    <row r="56" spans="1:19" x14ac:dyDescent="0.3">
      <c r="A56" t="s">
        <v>9</v>
      </c>
      <c r="B56" s="9">
        <f t="shared" si="28"/>
        <v>77.302635174069664</v>
      </c>
      <c r="C56" s="9">
        <f t="shared" si="29"/>
        <v>90.202275466590251</v>
      </c>
      <c r="D56" s="9">
        <f t="shared" si="30"/>
        <v>79.516881548965031</v>
      </c>
      <c r="E56" s="9">
        <f t="shared" si="31"/>
        <v>78.52554762692894</v>
      </c>
      <c r="F56" s="16">
        <f t="shared" si="44"/>
        <v>27</v>
      </c>
      <c r="G56" s="16">
        <f t="shared" si="49"/>
        <v>26</v>
      </c>
      <c r="H56" s="16">
        <f t="shared" si="50"/>
        <v>27</v>
      </c>
      <c r="I56" s="16">
        <f t="shared" si="51"/>
        <v>27</v>
      </c>
      <c r="K56" s="9">
        <f t="shared" si="33"/>
        <v>0.35290522994634799</v>
      </c>
      <c r="L56" s="9">
        <f t="shared" si="34"/>
        <v>0.41179520844974821</v>
      </c>
      <c r="M56" s="9">
        <f t="shared" si="35"/>
        <v>0.36301380029884267</v>
      </c>
      <c r="N56" s="9">
        <f t="shared" si="36"/>
        <v>0.35848812112992462</v>
      </c>
      <c r="O56" s="16">
        <f t="shared" si="45"/>
        <v>26</v>
      </c>
      <c r="P56" s="16">
        <f t="shared" si="46"/>
        <v>24</v>
      </c>
      <c r="Q56" s="16">
        <f t="shared" si="47"/>
        <v>25</v>
      </c>
      <c r="R56" s="16">
        <f t="shared" si="48"/>
        <v>26</v>
      </c>
      <c r="S56" s="17"/>
    </row>
    <row r="57" spans="1:19" x14ac:dyDescent="0.3">
      <c r="A57" t="s">
        <v>10</v>
      </c>
      <c r="B57" s="9">
        <f t="shared" si="28"/>
        <v>69.460034387153641</v>
      </c>
      <c r="C57" s="9">
        <f t="shared" si="29"/>
        <v>74.374902246481653</v>
      </c>
      <c r="D57" s="9">
        <f t="shared" si="30"/>
        <v>69.809551586920833</v>
      </c>
      <c r="E57" s="9">
        <f t="shared" si="31"/>
        <v>69.642822049698538</v>
      </c>
      <c r="F57" s="17">
        <f t="shared" si="44"/>
        <v>34</v>
      </c>
      <c r="G57" s="17">
        <f t="shared" si="49"/>
        <v>34</v>
      </c>
      <c r="H57" s="17">
        <f t="shared" si="50"/>
        <v>34</v>
      </c>
      <c r="I57" s="17">
        <f t="shared" si="51"/>
        <v>34</v>
      </c>
      <c r="K57" s="9">
        <f t="shared" si="33"/>
        <v>0.10753027319641084</v>
      </c>
      <c r="L57" s="9">
        <f t="shared" si="34"/>
        <v>0.11513892309560443</v>
      </c>
      <c r="M57" s="9">
        <f t="shared" si="35"/>
        <v>0.10807135671745156</v>
      </c>
      <c r="N57" s="9">
        <f t="shared" si="36"/>
        <v>0.10781324465566514</v>
      </c>
      <c r="O57" s="17">
        <f t="shared" si="45"/>
        <v>34</v>
      </c>
      <c r="P57" s="17">
        <f t="shared" si="46"/>
        <v>34</v>
      </c>
      <c r="Q57" s="17">
        <f t="shared" si="47"/>
        <v>34</v>
      </c>
      <c r="R57" s="17">
        <f t="shared" si="48"/>
        <v>34</v>
      </c>
      <c r="S57" s="17"/>
    </row>
    <row r="58" spans="1:19" x14ac:dyDescent="0.3">
      <c r="A58" t="s">
        <v>11</v>
      </c>
      <c r="B58" s="9">
        <f t="shared" si="28"/>
        <v>95.783909619126206</v>
      </c>
      <c r="C58" s="9">
        <f t="shared" si="29"/>
        <v>99.970454969130742</v>
      </c>
      <c r="D58" s="9">
        <f t="shared" si="30"/>
        <v>95.967246363113716</v>
      </c>
      <c r="E58" s="9">
        <f t="shared" si="31"/>
        <v>95.878205824083238</v>
      </c>
      <c r="F58" s="16">
        <f t="shared" si="44"/>
        <v>3</v>
      </c>
      <c r="G58" s="16">
        <f t="shared" si="49"/>
        <v>14</v>
      </c>
      <c r="H58" s="16">
        <f t="shared" si="50"/>
        <v>3</v>
      </c>
      <c r="I58" s="16">
        <f t="shared" si="51"/>
        <v>3</v>
      </c>
      <c r="K58" s="9">
        <f t="shared" si="33"/>
        <v>0.48213446087043915</v>
      </c>
      <c r="L58" s="9">
        <f t="shared" si="34"/>
        <v>0.50320770577410123</v>
      </c>
      <c r="M58" s="9">
        <f t="shared" si="35"/>
        <v>0.48305729814625764</v>
      </c>
      <c r="N58" s="9">
        <f t="shared" si="36"/>
        <v>0.48260910687434388</v>
      </c>
      <c r="O58" s="16">
        <f t="shared" si="45"/>
        <v>12</v>
      </c>
      <c r="P58" s="16">
        <f t="shared" si="46"/>
        <v>19</v>
      </c>
      <c r="Q58" s="16">
        <f t="shared" si="47"/>
        <v>13</v>
      </c>
      <c r="R58" s="16">
        <f t="shared" si="48"/>
        <v>13</v>
      </c>
      <c r="S58" s="17"/>
    </row>
    <row r="59" spans="1:19" x14ac:dyDescent="0.3">
      <c r="A59" t="s">
        <v>12</v>
      </c>
      <c r="B59" s="9">
        <f t="shared" si="28"/>
        <v>84.814046837889663</v>
      </c>
      <c r="C59" s="9">
        <f t="shared" si="29"/>
        <v>98.095143408294561</v>
      </c>
      <c r="D59" s="9">
        <f t="shared" si="30"/>
        <v>86.946021364101426</v>
      </c>
      <c r="E59" s="9">
        <f t="shared" si="31"/>
        <v>85.985046132996573</v>
      </c>
      <c r="F59" s="17">
        <f t="shared" si="44"/>
        <v>20</v>
      </c>
      <c r="G59" s="17">
        <f t="shared" si="49"/>
        <v>17</v>
      </c>
      <c r="H59" s="17">
        <f t="shared" si="50"/>
        <v>18</v>
      </c>
      <c r="I59" s="17">
        <f t="shared" si="51"/>
        <v>18</v>
      </c>
      <c r="K59" s="9">
        <f t="shared" si="33"/>
        <v>0.44272189913306803</v>
      </c>
      <c r="L59" s="9">
        <f t="shared" si="34"/>
        <v>0.5120480604876585</v>
      </c>
      <c r="M59" s="9">
        <f t="shared" si="35"/>
        <v>0.45385061950826577</v>
      </c>
      <c r="N59" s="9">
        <f t="shared" si="36"/>
        <v>0.44883441293404391</v>
      </c>
      <c r="O59" s="17">
        <f t="shared" si="45"/>
        <v>17</v>
      </c>
      <c r="P59" s="17">
        <f t="shared" si="46"/>
        <v>18</v>
      </c>
      <c r="Q59" s="17">
        <f t="shared" si="47"/>
        <v>18</v>
      </c>
      <c r="R59" s="17">
        <f t="shared" si="48"/>
        <v>17</v>
      </c>
      <c r="S59" s="17"/>
    </row>
    <row r="60" spans="1:19" x14ac:dyDescent="0.3">
      <c r="A60" t="s">
        <v>13</v>
      </c>
      <c r="B60" s="9">
        <f t="shared" si="28"/>
        <v>85.186234924938105</v>
      </c>
      <c r="C60" s="9">
        <f t="shared" si="29"/>
        <v>88.584425540287484</v>
      </c>
      <c r="D60" s="9">
        <f t="shared" si="30"/>
        <v>85.322009264587535</v>
      </c>
      <c r="E60" s="9">
        <f t="shared" si="31"/>
        <v>85.255900777674455</v>
      </c>
      <c r="F60" s="16">
        <f t="shared" si="44"/>
        <v>18</v>
      </c>
      <c r="G60" s="16">
        <f t="shared" si="49"/>
        <v>29</v>
      </c>
      <c r="H60" s="16">
        <f t="shared" si="50"/>
        <v>22</v>
      </c>
      <c r="I60" s="16">
        <f t="shared" si="51"/>
        <v>21</v>
      </c>
      <c r="K60" s="9">
        <f t="shared" si="33"/>
        <v>0.3036032548201113</v>
      </c>
      <c r="L60" s="9">
        <f t="shared" si="34"/>
        <v>0.31571438676799363</v>
      </c>
      <c r="M60" s="9">
        <f t="shared" si="35"/>
        <v>0.30408715379128826</v>
      </c>
      <c r="N60" s="9">
        <f t="shared" si="36"/>
        <v>0.30385154352143973</v>
      </c>
      <c r="O60" s="16">
        <f t="shared" si="45"/>
        <v>29</v>
      </c>
      <c r="P60" s="16">
        <f t="shared" si="46"/>
        <v>29</v>
      </c>
      <c r="Q60" s="16">
        <f t="shared" si="47"/>
        <v>29</v>
      </c>
      <c r="R60" s="16">
        <f t="shared" si="48"/>
        <v>29</v>
      </c>
      <c r="S60" s="17"/>
    </row>
    <row r="61" spans="1:19" x14ac:dyDescent="0.3">
      <c r="A61" t="s">
        <v>14</v>
      </c>
      <c r="B61" s="9">
        <f t="shared" si="28"/>
        <v>76.307223424652236</v>
      </c>
      <c r="C61" s="9">
        <f t="shared" si="29"/>
        <v>90.533528983565589</v>
      </c>
      <c r="D61" s="9">
        <f t="shared" si="30"/>
        <v>79.055005823839863</v>
      </c>
      <c r="E61" s="9">
        <f t="shared" si="31"/>
        <v>77.840507995377536</v>
      </c>
      <c r="F61" s="17">
        <f t="shared" si="44"/>
        <v>28</v>
      </c>
      <c r="G61" s="17">
        <f t="shared" si="49"/>
        <v>25</v>
      </c>
      <c r="H61" s="17">
        <f t="shared" si="50"/>
        <v>28</v>
      </c>
      <c r="I61" s="17">
        <f t="shared" si="51"/>
        <v>28</v>
      </c>
      <c r="K61" s="9">
        <f t="shared" si="33"/>
        <v>0.3615063302779174</v>
      </c>
      <c r="L61" s="9">
        <f t="shared" si="34"/>
        <v>0.42890361306718489</v>
      </c>
      <c r="M61" s="9">
        <f t="shared" si="35"/>
        <v>0.37452398033713391</v>
      </c>
      <c r="N61" s="9">
        <f t="shared" si="36"/>
        <v>0.36877028319820654</v>
      </c>
      <c r="O61" s="17">
        <f t="shared" si="45"/>
        <v>22</v>
      </c>
      <c r="P61" s="17">
        <f t="shared" si="46"/>
        <v>22</v>
      </c>
      <c r="Q61" s="17">
        <f t="shared" si="47"/>
        <v>22</v>
      </c>
      <c r="R61" s="17">
        <f t="shared" si="48"/>
        <v>22</v>
      </c>
      <c r="S61" s="17"/>
    </row>
    <row r="62" spans="1:19" x14ac:dyDescent="0.3">
      <c r="A62" t="s">
        <v>15</v>
      </c>
      <c r="B62" s="9">
        <f t="shared" si="28"/>
        <v>91.239780755938611</v>
      </c>
      <c r="C62" s="9">
        <f t="shared" si="29"/>
        <v>103.56769221376022</v>
      </c>
      <c r="D62" s="9">
        <f t="shared" si="30"/>
        <v>92.936447766943587</v>
      </c>
      <c r="E62" s="9">
        <f t="shared" si="31"/>
        <v>92.160793446070258</v>
      </c>
      <c r="F62" s="16">
        <f t="shared" si="44"/>
        <v>7</v>
      </c>
      <c r="G62" s="16">
        <f t="shared" si="49"/>
        <v>9</v>
      </c>
      <c r="H62" s="16">
        <f t="shared" si="50"/>
        <v>8</v>
      </c>
      <c r="I62" s="16">
        <f t="shared" si="51"/>
        <v>8</v>
      </c>
      <c r="K62" s="9">
        <f t="shared" si="33"/>
        <v>0.50772319077493766</v>
      </c>
      <c r="L62" s="9">
        <f t="shared" si="34"/>
        <v>0.5763244794792477</v>
      </c>
      <c r="M62" s="9">
        <f t="shared" si="35"/>
        <v>0.51716465568610748</v>
      </c>
      <c r="N62" s="9">
        <f t="shared" si="36"/>
        <v>0.51284836203141737</v>
      </c>
      <c r="O62" s="16">
        <f t="shared" si="45"/>
        <v>7</v>
      </c>
      <c r="P62" s="16">
        <f t="shared" si="46"/>
        <v>9</v>
      </c>
      <c r="Q62" s="16">
        <f t="shared" si="47"/>
        <v>9</v>
      </c>
      <c r="R62" s="16">
        <f t="shared" si="48"/>
        <v>9</v>
      </c>
      <c r="S62" s="17"/>
    </row>
    <row r="63" spans="1:19" x14ac:dyDescent="0.3">
      <c r="A63" t="s">
        <v>16</v>
      </c>
      <c r="B63" s="9">
        <f t="shared" si="28"/>
        <v>103.0812306597176</v>
      </c>
      <c r="C63" s="9">
        <f t="shared" si="29"/>
        <v>107.18571233001596</v>
      </c>
      <c r="D63" s="9">
        <f t="shared" si="30"/>
        <v>103.24492216884605</v>
      </c>
      <c r="E63" s="9">
        <f t="shared" si="31"/>
        <v>103.16521693420374</v>
      </c>
      <c r="F63" s="17">
        <f t="shared" si="44"/>
        <v>2</v>
      </c>
      <c r="G63" s="17">
        <f t="shared" si="49"/>
        <v>3</v>
      </c>
      <c r="H63" s="17">
        <f t="shared" si="50"/>
        <v>2</v>
      </c>
      <c r="I63" s="17">
        <f t="shared" si="51"/>
        <v>2</v>
      </c>
      <c r="K63" s="9">
        <f t="shared" si="33"/>
        <v>0.59663078600350672</v>
      </c>
      <c r="L63" s="9">
        <f t="shared" si="34"/>
        <v>0.62038739144384192</v>
      </c>
      <c r="M63" s="9">
        <f t="shared" si="35"/>
        <v>0.59757822709562758</v>
      </c>
      <c r="N63" s="9">
        <f t="shared" si="36"/>
        <v>0.59711689580874938</v>
      </c>
      <c r="O63" s="17">
        <f t="shared" si="45"/>
        <v>2</v>
      </c>
      <c r="P63" s="17">
        <f t="shared" si="46"/>
        <v>3</v>
      </c>
      <c r="Q63" s="17">
        <f t="shared" si="47"/>
        <v>2</v>
      </c>
      <c r="R63" s="17">
        <f t="shared" si="48"/>
        <v>2</v>
      </c>
      <c r="S63" s="17"/>
    </row>
    <row r="64" spans="1:19" x14ac:dyDescent="0.3">
      <c r="A64" t="s">
        <v>17</v>
      </c>
      <c r="B64" s="9">
        <f t="shared" si="28"/>
        <v>93.544907823717296</v>
      </c>
      <c r="C64" s="9">
        <f t="shared" si="29"/>
        <v>106.71039391764083</v>
      </c>
      <c r="D64" s="9">
        <f t="shared" si="30"/>
        <v>95.435258374752678</v>
      </c>
      <c r="E64" s="9">
        <f t="shared" si="31"/>
        <v>94.574255781089548</v>
      </c>
      <c r="F64" s="16">
        <f t="shared" si="44"/>
        <v>4</v>
      </c>
      <c r="G64" s="16">
        <f t="shared" si="49"/>
        <v>4</v>
      </c>
      <c r="H64" s="16">
        <f t="shared" si="50"/>
        <v>4</v>
      </c>
      <c r="I64" s="16">
        <f t="shared" si="51"/>
        <v>4</v>
      </c>
      <c r="K64" s="9">
        <f t="shared" si="33"/>
        <v>0.54060616698510677</v>
      </c>
      <c r="L64" s="9">
        <f t="shared" si="34"/>
        <v>0.61669093888037829</v>
      </c>
      <c r="M64" s="9">
        <f t="shared" si="35"/>
        <v>0.55153070782253255</v>
      </c>
      <c r="N64" s="9">
        <f t="shared" si="36"/>
        <v>0.54655488046053846</v>
      </c>
      <c r="O64" s="16">
        <f t="shared" si="45"/>
        <v>3</v>
      </c>
      <c r="P64" s="16">
        <f t="shared" si="46"/>
        <v>4</v>
      </c>
      <c r="Q64" s="16">
        <f t="shared" si="47"/>
        <v>3</v>
      </c>
      <c r="R64" s="16">
        <f t="shared" si="48"/>
        <v>3</v>
      </c>
      <c r="S64" s="17"/>
    </row>
    <row r="65" spans="1:19" x14ac:dyDescent="0.3">
      <c r="A65" t="s">
        <v>18</v>
      </c>
      <c r="B65" s="9">
        <f t="shared" si="28"/>
        <v>75.542381079442265</v>
      </c>
      <c r="C65" s="9">
        <f t="shared" si="29"/>
        <v>83.482084707998453</v>
      </c>
      <c r="D65" s="9">
        <f t="shared" si="30"/>
        <v>76.386186031935196</v>
      </c>
      <c r="E65" s="9">
        <f t="shared" si="31"/>
        <v>75.992712408487364</v>
      </c>
      <c r="F65" s="17">
        <f t="shared" si="44"/>
        <v>30</v>
      </c>
      <c r="G65" s="17">
        <f t="shared" si="49"/>
        <v>30</v>
      </c>
      <c r="H65" s="17">
        <f t="shared" si="50"/>
        <v>31</v>
      </c>
      <c r="I65" s="17">
        <f t="shared" si="51"/>
        <v>31</v>
      </c>
      <c r="K65" s="9">
        <f t="shared" si="33"/>
        <v>0.24497137255001164</v>
      </c>
      <c r="L65" s="9">
        <f t="shared" si="34"/>
        <v>0.27071851035180144</v>
      </c>
      <c r="M65" s="9">
        <f t="shared" si="35"/>
        <v>0.24770769161254305</v>
      </c>
      <c r="N65" s="9">
        <f t="shared" si="36"/>
        <v>0.24643172212070411</v>
      </c>
      <c r="O65" s="17">
        <f t="shared" si="45"/>
        <v>30</v>
      </c>
      <c r="P65" s="17">
        <f t="shared" si="46"/>
        <v>30</v>
      </c>
      <c r="Q65" s="17">
        <f t="shared" si="47"/>
        <v>30</v>
      </c>
      <c r="R65" s="17">
        <f t="shared" si="48"/>
        <v>30</v>
      </c>
      <c r="S65" s="17"/>
    </row>
    <row r="66" spans="1:19" x14ac:dyDescent="0.3">
      <c r="A66" t="s">
        <v>19</v>
      </c>
      <c r="B66" s="9">
        <f t="shared" si="28"/>
        <v>85.917860601541832</v>
      </c>
      <c r="C66" s="9">
        <f t="shared" si="29"/>
        <v>100.17727195086788</v>
      </c>
      <c r="D66" s="9">
        <f t="shared" si="30"/>
        <v>88.351465345199088</v>
      </c>
      <c r="E66" s="9">
        <f t="shared" si="31"/>
        <v>87.261273841059889</v>
      </c>
      <c r="F66" s="16">
        <f t="shared" si="44"/>
        <v>17</v>
      </c>
      <c r="G66" s="16">
        <f t="shared" si="49"/>
        <v>13</v>
      </c>
      <c r="H66" s="16">
        <f t="shared" si="50"/>
        <v>17</v>
      </c>
      <c r="I66" s="16">
        <f t="shared" si="51"/>
        <v>17</v>
      </c>
      <c r="K66" s="9">
        <f t="shared" si="33"/>
        <v>0.46430250021599062</v>
      </c>
      <c r="L66" s="9">
        <f t="shared" si="34"/>
        <v>0.54136075439907416</v>
      </c>
      <c r="M66" s="9">
        <f t="shared" si="35"/>
        <v>0.47745376770690023</v>
      </c>
      <c r="N66" s="9">
        <f t="shared" si="36"/>
        <v>0.47156234259991869</v>
      </c>
      <c r="O66" s="16">
        <f t="shared" si="45"/>
        <v>14</v>
      </c>
      <c r="P66" s="16">
        <f t="shared" si="46"/>
        <v>14</v>
      </c>
      <c r="Q66" s="16">
        <f t="shared" si="47"/>
        <v>14</v>
      </c>
      <c r="R66" s="16">
        <f t="shared" si="48"/>
        <v>14</v>
      </c>
      <c r="S66" s="17"/>
    </row>
    <row r="67" spans="1:19" x14ac:dyDescent="0.3">
      <c r="A67" t="s">
        <v>20</v>
      </c>
      <c r="B67" s="9">
        <f t="shared" si="28"/>
        <v>83.218169359192018</v>
      </c>
      <c r="C67" s="9">
        <f t="shared" si="29"/>
        <v>97.801568728146947</v>
      </c>
      <c r="D67" s="9">
        <f t="shared" si="30"/>
        <v>85.854778132113367</v>
      </c>
      <c r="E67" s="9">
        <f t="shared" si="31"/>
        <v>84.680824372023238</v>
      </c>
      <c r="F67" s="17">
        <f t="shared" si="44"/>
        <v>22</v>
      </c>
      <c r="G67" s="17">
        <f t="shared" si="49"/>
        <v>19</v>
      </c>
      <c r="H67" s="17">
        <f t="shared" si="50"/>
        <v>21</v>
      </c>
      <c r="I67" s="17">
        <f t="shared" si="51"/>
        <v>22</v>
      </c>
      <c r="K67" s="9">
        <f t="shared" si="33"/>
        <v>0.43777138975971658</v>
      </c>
      <c r="L67" s="9">
        <f t="shared" si="34"/>
        <v>0.51448774940003106</v>
      </c>
      <c r="M67" s="9">
        <f t="shared" si="35"/>
        <v>0.45164134022440977</v>
      </c>
      <c r="N67" s="9">
        <f t="shared" si="36"/>
        <v>0.44546572529529416</v>
      </c>
      <c r="O67" s="17">
        <f t="shared" si="45"/>
        <v>18</v>
      </c>
      <c r="P67" s="17">
        <f t="shared" si="46"/>
        <v>17</v>
      </c>
      <c r="Q67" s="17">
        <f t="shared" si="47"/>
        <v>19</v>
      </c>
      <c r="R67" s="17">
        <f t="shared" si="48"/>
        <v>19</v>
      </c>
      <c r="S67" s="17"/>
    </row>
    <row r="68" spans="1:19" x14ac:dyDescent="0.3">
      <c r="A68" t="s">
        <v>21</v>
      </c>
      <c r="B68" s="9">
        <f t="shared" si="28"/>
        <v>81.131071776432137</v>
      </c>
      <c r="C68" s="9">
        <f t="shared" si="29"/>
        <v>97.975331892561314</v>
      </c>
      <c r="D68" s="9">
        <f t="shared" si="30"/>
        <v>84.78577790417998</v>
      </c>
      <c r="E68" s="9">
        <f t="shared" si="31"/>
        <v>83.192704895875806</v>
      </c>
      <c r="F68" s="16">
        <f t="shared" si="44"/>
        <v>25</v>
      </c>
      <c r="G68" s="16">
        <f t="shared" si="49"/>
        <v>18</v>
      </c>
      <c r="H68" s="16">
        <f t="shared" si="50"/>
        <v>23</v>
      </c>
      <c r="I68" s="16">
        <f t="shared" si="51"/>
        <v>23</v>
      </c>
      <c r="K68" s="9">
        <f t="shared" si="33"/>
        <v>0.43649128083583466</v>
      </c>
      <c r="L68" s="9">
        <f t="shared" si="34"/>
        <v>0.5271146697771476</v>
      </c>
      <c r="M68" s="9">
        <f t="shared" si="35"/>
        <v>0.45615387525064965</v>
      </c>
      <c r="N68" s="9">
        <f t="shared" si="36"/>
        <v>0.44758302239940356</v>
      </c>
      <c r="O68" s="16">
        <f t="shared" si="45"/>
        <v>19</v>
      </c>
      <c r="P68" s="16">
        <f t="shared" si="46"/>
        <v>15</v>
      </c>
      <c r="Q68" s="16">
        <f t="shared" si="47"/>
        <v>17</v>
      </c>
      <c r="R68" s="16">
        <f t="shared" si="48"/>
        <v>18</v>
      </c>
      <c r="S68" s="17"/>
    </row>
    <row r="69" spans="1:19" x14ac:dyDescent="0.3">
      <c r="A69" t="s">
        <v>22</v>
      </c>
      <c r="B69" s="9">
        <f t="shared" si="28"/>
        <v>91.05932847093068</v>
      </c>
      <c r="C69" s="9">
        <f t="shared" si="29"/>
        <v>105.87988198894863</v>
      </c>
      <c r="D69" s="9">
        <f t="shared" si="30"/>
        <v>93.537115261883088</v>
      </c>
      <c r="E69" s="9">
        <f t="shared" si="31"/>
        <v>92.42478748890764</v>
      </c>
      <c r="F69" s="17">
        <f t="shared" si="44"/>
        <v>8</v>
      </c>
      <c r="G69" s="17">
        <f t="shared" si="49"/>
        <v>6</v>
      </c>
      <c r="H69" s="17">
        <f t="shared" si="50"/>
        <v>7</v>
      </c>
      <c r="I69" s="17">
        <f t="shared" si="51"/>
        <v>7</v>
      </c>
      <c r="K69" s="9">
        <f t="shared" si="33"/>
        <v>0.52293971216087165</v>
      </c>
      <c r="L69" s="9">
        <f t="shared" si="34"/>
        <v>0.60805187058461019</v>
      </c>
      <c r="M69" s="9">
        <f t="shared" si="35"/>
        <v>0.53716926044565061</v>
      </c>
      <c r="N69" s="9">
        <f t="shared" si="36"/>
        <v>0.5307813331987018</v>
      </c>
      <c r="O69" s="17">
        <f t="shared" si="45"/>
        <v>6</v>
      </c>
      <c r="P69" s="17">
        <f t="shared" si="46"/>
        <v>6</v>
      </c>
      <c r="Q69" s="17">
        <f t="shared" si="47"/>
        <v>6</v>
      </c>
      <c r="R69" s="17">
        <f t="shared" si="48"/>
        <v>6</v>
      </c>
      <c r="S69" s="17"/>
    </row>
    <row r="70" spans="1:19" x14ac:dyDescent="0.3">
      <c r="A70" t="s">
        <v>23</v>
      </c>
      <c r="B70" s="9">
        <f t="shared" si="28"/>
        <v>87.894366025547797</v>
      </c>
      <c r="C70" s="9">
        <f t="shared" si="29"/>
        <v>106.29741398581442</v>
      </c>
      <c r="D70" s="9">
        <f t="shared" si="30"/>
        <v>91.924201406799497</v>
      </c>
      <c r="E70" s="9">
        <f t="shared" si="31"/>
        <v>90.16963339494626</v>
      </c>
      <c r="F70" s="16">
        <f t="shared" si="44"/>
        <v>13</v>
      </c>
      <c r="G70" s="16">
        <f t="shared" si="49"/>
        <v>5</v>
      </c>
      <c r="H70" s="16">
        <f t="shared" si="50"/>
        <v>10</v>
      </c>
      <c r="I70" s="16">
        <f t="shared" si="51"/>
        <v>10</v>
      </c>
      <c r="K70" s="9">
        <f t="shared" si="33"/>
        <v>0.50355131374907391</v>
      </c>
      <c r="L70" s="9">
        <f t="shared" si="34"/>
        <v>0.60898331578076181</v>
      </c>
      <c r="M70" s="9">
        <f t="shared" si="35"/>
        <v>0.52663844654472969</v>
      </c>
      <c r="N70" s="9">
        <f t="shared" si="36"/>
        <v>0.5165864367586418</v>
      </c>
      <c r="O70" s="16">
        <f t="shared" si="45"/>
        <v>9</v>
      </c>
      <c r="P70" s="16">
        <f t="shared" si="46"/>
        <v>5</v>
      </c>
      <c r="Q70" s="16">
        <f t="shared" si="47"/>
        <v>8</v>
      </c>
      <c r="R70" s="16">
        <f t="shared" si="48"/>
        <v>8</v>
      </c>
      <c r="S70" s="17"/>
    </row>
    <row r="71" spans="1:19" x14ac:dyDescent="0.3">
      <c r="A71" t="s">
        <v>24</v>
      </c>
      <c r="B71" s="9">
        <f t="shared" si="28"/>
        <v>88.30591395481845</v>
      </c>
      <c r="C71" s="9">
        <f t="shared" si="29"/>
        <v>105.86524824987174</v>
      </c>
      <c r="D71" s="9">
        <f t="shared" si="30"/>
        <v>91.94127053185727</v>
      </c>
      <c r="E71" s="9">
        <f t="shared" si="31"/>
        <v>90.347498571740019</v>
      </c>
      <c r="F71" s="17">
        <f t="shared" si="44"/>
        <v>12</v>
      </c>
      <c r="G71" s="17">
        <f t="shared" si="49"/>
        <v>7</v>
      </c>
      <c r="H71" s="17">
        <f t="shared" si="50"/>
        <v>9</v>
      </c>
      <c r="I71" s="17">
        <f t="shared" si="51"/>
        <v>9</v>
      </c>
      <c r="K71" s="9">
        <f t="shared" si="33"/>
        <v>0.50606901634491219</v>
      </c>
      <c r="L71" s="9">
        <f t="shared" si="34"/>
        <v>0.60669913992775315</v>
      </c>
      <c r="M71" s="9">
        <f t="shared" si="35"/>
        <v>0.52690274360746392</v>
      </c>
      <c r="N71" s="9">
        <f t="shared" si="36"/>
        <v>0.51776905626974712</v>
      </c>
      <c r="O71" s="17">
        <f t="shared" si="45"/>
        <v>8</v>
      </c>
      <c r="P71" s="17">
        <f t="shared" si="46"/>
        <v>7</v>
      </c>
      <c r="Q71" s="17">
        <f t="shared" si="47"/>
        <v>7</v>
      </c>
      <c r="R71" s="17">
        <f t="shared" si="48"/>
        <v>7</v>
      </c>
      <c r="S71" s="17"/>
    </row>
    <row r="72" spans="1:19" x14ac:dyDescent="0.3">
      <c r="A72" t="s">
        <v>25</v>
      </c>
      <c r="B72" s="9">
        <f t="shared" si="28"/>
        <v>70.313905024535217</v>
      </c>
      <c r="C72" s="9">
        <f t="shared" si="29"/>
        <v>77.888761255454426</v>
      </c>
      <c r="D72" s="9">
        <f t="shared" si="30"/>
        <v>71.139519464423515</v>
      </c>
      <c r="E72" s="9">
        <f t="shared" si="31"/>
        <v>70.755195755282799</v>
      </c>
      <c r="F72" s="16">
        <f t="shared" si="44"/>
        <v>33</v>
      </c>
      <c r="G72" s="16">
        <f t="shared" si="49"/>
        <v>33</v>
      </c>
      <c r="H72" s="16">
        <f t="shared" si="50"/>
        <v>33</v>
      </c>
      <c r="I72" s="16">
        <f t="shared" si="51"/>
        <v>33</v>
      </c>
      <c r="K72" s="9">
        <f t="shared" si="33"/>
        <v>0.17545602060594473</v>
      </c>
      <c r="L72" s="9">
        <f t="shared" si="34"/>
        <v>0.1943577460964501</v>
      </c>
      <c r="M72" s="9">
        <f t="shared" si="35"/>
        <v>0.17751619667107807</v>
      </c>
      <c r="N72" s="9">
        <f t="shared" si="36"/>
        <v>0.17655718424520275</v>
      </c>
      <c r="O72" s="16">
        <f t="shared" si="45"/>
        <v>33</v>
      </c>
      <c r="P72" s="16">
        <f t="shared" si="46"/>
        <v>33</v>
      </c>
      <c r="Q72" s="16">
        <f t="shared" si="47"/>
        <v>33</v>
      </c>
      <c r="R72" s="16">
        <f t="shared" si="48"/>
        <v>33</v>
      </c>
      <c r="S72" s="17"/>
    </row>
    <row r="73" spans="1:19" x14ac:dyDescent="0.3">
      <c r="A73" t="s">
        <v>26</v>
      </c>
      <c r="B73" s="9">
        <f t="shared" si="28"/>
        <v>82.467386671960398</v>
      </c>
      <c r="C73" s="9">
        <f t="shared" si="29"/>
        <v>89.403188221768985</v>
      </c>
      <c r="D73" s="9">
        <f t="shared" si="30"/>
        <v>83.054867831865309</v>
      </c>
      <c r="E73" s="9">
        <f t="shared" si="31"/>
        <v>82.777089017618636</v>
      </c>
      <c r="F73" s="17">
        <f t="shared" si="44"/>
        <v>23</v>
      </c>
      <c r="G73" s="17">
        <f t="shared" si="49"/>
        <v>27</v>
      </c>
      <c r="H73" s="17">
        <f t="shared" si="50"/>
        <v>25</v>
      </c>
      <c r="I73" s="17">
        <f t="shared" si="51"/>
        <v>25</v>
      </c>
      <c r="K73" s="9">
        <f t="shared" si="33"/>
        <v>0.32046645912506616</v>
      </c>
      <c r="L73" s="9">
        <f t="shared" si="34"/>
        <v>0.34741883210012781</v>
      </c>
      <c r="M73" s="9">
        <f t="shared" si="35"/>
        <v>0.32274939805056296</v>
      </c>
      <c r="N73" s="9">
        <f t="shared" si="36"/>
        <v>0.3216699556598917</v>
      </c>
      <c r="O73" s="17">
        <f t="shared" si="45"/>
        <v>28</v>
      </c>
      <c r="P73" s="17">
        <f t="shared" si="46"/>
        <v>28</v>
      </c>
      <c r="Q73" s="17">
        <f t="shared" si="47"/>
        <v>28</v>
      </c>
      <c r="R73" s="17">
        <f t="shared" si="48"/>
        <v>28</v>
      </c>
      <c r="S73" s="17"/>
    </row>
    <row r="74" spans="1:19" x14ac:dyDescent="0.3">
      <c r="A74" t="s">
        <v>27</v>
      </c>
      <c r="B74" s="9">
        <f t="shared" si="28"/>
        <v>87.277717330218991</v>
      </c>
      <c r="C74" s="9">
        <f t="shared" si="29"/>
        <v>102.56658280112086</v>
      </c>
      <c r="D74" s="9">
        <f t="shared" si="30"/>
        <v>90.04072928580797</v>
      </c>
      <c r="E74" s="9">
        <f t="shared" si="31"/>
        <v>88.810439324819598</v>
      </c>
      <c r="F74" s="16">
        <f t="shared" si="44"/>
        <v>15</v>
      </c>
      <c r="G74" s="16">
        <f t="shared" si="49"/>
        <v>10</v>
      </c>
      <c r="H74" s="16">
        <f t="shared" si="50"/>
        <v>12</v>
      </c>
      <c r="I74" s="16">
        <f t="shared" si="51"/>
        <v>14</v>
      </c>
      <c r="K74" s="9">
        <f t="shared" si="33"/>
        <v>0.48530517565386377</v>
      </c>
      <c r="L74" s="9">
        <f t="shared" si="34"/>
        <v>0.57031846163190236</v>
      </c>
      <c r="M74" s="9">
        <f t="shared" si="35"/>
        <v>0.50066882222321052</v>
      </c>
      <c r="N74" s="9">
        <f t="shared" si="36"/>
        <v>0.49382783114454126</v>
      </c>
      <c r="O74" s="16">
        <f t="shared" si="45"/>
        <v>11</v>
      </c>
      <c r="P74" s="16">
        <f t="shared" si="46"/>
        <v>10</v>
      </c>
      <c r="Q74" s="16">
        <f t="shared" si="47"/>
        <v>10</v>
      </c>
      <c r="R74" s="16">
        <f t="shared" si="48"/>
        <v>11</v>
      </c>
      <c r="S74" s="17"/>
    </row>
    <row r="75" spans="1:19" x14ac:dyDescent="0.3">
      <c r="A75" t="s">
        <v>28</v>
      </c>
      <c r="B75" s="9">
        <f t="shared" si="28"/>
        <v>69.268991510438454</v>
      </c>
      <c r="C75" s="9">
        <f t="shared" si="29"/>
        <v>71.050508479116232</v>
      </c>
      <c r="D75" s="9">
        <f t="shared" si="30"/>
        <v>69.314840358051228</v>
      </c>
      <c r="E75" s="9">
        <f t="shared" si="31"/>
        <v>69.292305228693749</v>
      </c>
      <c r="F75" s="17">
        <f t="shared" si="44"/>
        <v>35</v>
      </c>
      <c r="G75" s="17">
        <f t="shared" si="49"/>
        <v>35</v>
      </c>
      <c r="H75" s="17">
        <f t="shared" si="50"/>
        <v>35</v>
      </c>
      <c r="I75" s="17">
        <f t="shared" si="51"/>
        <v>35</v>
      </c>
      <c r="K75" s="9">
        <f t="shared" si="33"/>
        <v>3.4231679299096346E-2</v>
      </c>
      <c r="L75" s="9">
        <f t="shared" si="34"/>
        <v>3.5112077818085695E-2</v>
      </c>
      <c r="M75" s="9">
        <f t="shared" si="35"/>
        <v>3.4254337100422597E-2</v>
      </c>
      <c r="N75" s="9">
        <f t="shared" si="36"/>
        <v>3.4243200583139649E-2</v>
      </c>
      <c r="O75" s="17">
        <f t="shared" si="45"/>
        <v>35</v>
      </c>
      <c r="P75" s="17">
        <f t="shared" si="46"/>
        <v>35</v>
      </c>
      <c r="Q75" s="17">
        <f t="shared" si="47"/>
        <v>35</v>
      </c>
      <c r="R75" s="17">
        <f t="shared" si="48"/>
        <v>35</v>
      </c>
      <c r="S75" s="17"/>
    </row>
    <row r="76" spans="1:19" x14ac:dyDescent="0.3">
      <c r="A76" t="s">
        <v>29</v>
      </c>
      <c r="B76" s="9">
        <f t="shared" si="28"/>
        <v>81.60571708767155</v>
      </c>
      <c r="C76" s="9">
        <f t="shared" si="29"/>
        <v>96.303006311973945</v>
      </c>
      <c r="D76" s="9">
        <f t="shared" si="30"/>
        <v>84.341454416657058</v>
      </c>
      <c r="E76" s="9">
        <f t="shared" si="31"/>
        <v>83.1272434330576</v>
      </c>
      <c r="F76" s="16">
        <f t="shared" si="44"/>
        <v>24</v>
      </c>
      <c r="G76" s="16">
        <f t="shared" si="49"/>
        <v>21</v>
      </c>
      <c r="H76" s="16">
        <f t="shared" si="50"/>
        <v>24</v>
      </c>
      <c r="I76" s="16">
        <f t="shared" si="51"/>
        <v>24</v>
      </c>
      <c r="K76" s="9">
        <f t="shared" si="33"/>
        <v>0.42217988005038115</v>
      </c>
      <c r="L76" s="9">
        <f t="shared" si="34"/>
        <v>0.49821499159919125</v>
      </c>
      <c r="M76" s="9">
        <f t="shared" si="35"/>
        <v>0.43633297248825076</v>
      </c>
      <c r="N76" s="9">
        <f t="shared" si="36"/>
        <v>0.4300513605411227</v>
      </c>
      <c r="O76" s="16">
        <f t="shared" si="45"/>
        <v>21</v>
      </c>
      <c r="P76" s="16">
        <f t="shared" si="46"/>
        <v>20</v>
      </c>
      <c r="Q76" s="16">
        <f t="shared" si="47"/>
        <v>21</v>
      </c>
      <c r="R76" s="16">
        <f t="shared" si="48"/>
        <v>21</v>
      </c>
      <c r="S76" s="17"/>
    </row>
    <row r="77" spans="1:19" x14ac:dyDescent="0.3">
      <c r="A77" t="s">
        <v>30</v>
      </c>
      <c r="B77" s="9">
        <f t="shared" si="28"/>
        <v>89.112630068330489</v>
      </c>
      <c r="C77" s="9">
        <f t="shared" si="29"/>
        <v>92.068327582133847</v>
      </c>
      <c r="D77" s="9">
        <f t="shared" si="30"/>
        <v>89.210772937784654</v>
      </c>
      <c r="E77" s="9">
        <f t="shared" si="31"/>
        <v>89.162773196611028</v>
      </c>
      <c r="F77" s="17">
        <f t="shared" si="44"/>
        <v>9</v>
      </c>
      <c r="G77" s="17">
        <f t="shared" si="49"/>
        <v>22</v>
      </c>
      <c r="H77" s="17">
        <f t="shared" si="50"/>
        <v>14</v>
      </c>
      <c r="I77" s="17">
        <f t="shared" si="51"/>
        <v>12</v>
      </c>
      <c r="K77" s="9">
        <f t="shared" si="33"/>
        <v>0.35942039837410028</v>
      </c>
      <c r="L77" s="9">
        <f t="shared" si="34"/>
        <v>0.37134169367275721</v>
      </c>
      <c r="M77" s="9">
        <f t="shared" si="35"/>
        <v>0.35981624068298224</v>
      </c>
      <c r="N77" s="9">
        <f t="shared" si="36"/>
        <v>0.35962264201934441</v>
      </c>
      <c r="O77" s="17">
        <f t="shared" si="45"/>
        <v>23</v>
      </c>
      <c r="P77" s="17">
        <f t="shared" si="46"/>
        <v>26</v>
      </c>
      <c r="Q77" s="17">
        <f t="shared" si="47"/>
        <v>26</v>
      </c>
      <c r="R77" s="17">
        <f t="shared" si="48"/>
        <v>25</v>
      </c>
      <c r="S77" s="17"/>
    </row>
    <row r="78" spans="1:19" x14ac:dyDescent="0.3">
      <c r="A78" t="s">
        <v>31</v>
      </c>
      <c r="B78" s="9">
        <f t="shared" si="28"/>
        <v>92.565823710851149</v>
      </c>
      <c r="C78" s="9">
        <f t="shared" si="29"/>
        <v>105.58435474010341</v>
      </c>
      <c r="D78" s="9">
        <f t="shared" si="30"/>
        <v>94.433706677015294</v>
      </c>
      <c r="E78" s="9">
        <f t="shared" si="31"/>
        <v>93.582881991338382</v>
      </c>
      <c r="F78" s="16">
        <f t="shared" si="44"/>
        <v>5</v>
      </c>
      <c r="G78" s="16">
        <f t="shared" si="49"/>
        <v>8</v>
      </c>
      <c r="H78" s="16">
        <f t="shared" si="50"/>
        <v>6</v>
      </c>
      <c r="I78" s="16">
        <f t="shared" si="51"/>
        <v>5</v>
      </c>
      <c r="K78" s="9">
        <f t="shared" si="33"/>
        <v>0.52961222854658341</v>
      </c>
      <c r="L78" s="9">
        <f t="shared" si="34"/>
        <v>0.6040973133694918</v>
      </c>
      <c r="M78" s="9">
        <f t="shared" si="35"/>
        <v>0.54029925774068999</v>
      </c>
      <c r="N78" s="9">
        <f t="shared" si="36"/>
        <v>0.53543129308786785</v>
      </c>
      <c r="O78" s="16">
        <f t="shared" si="45"/>
        <v>5</v>
      </c>
      <c r="P78" s="16">
        <f t="shared" si="46"/>
        <v>8</v>
      </c>
      <c r="Q78" s="16">
        <f t="shared" si="47"/>
        <v>5</v>
      </c>
      <c r="R78" s="16">
        <f t="shared" si="48"/>
        <v>5</v>
      </c>
      <c r="S78" s="17"/>
    </row>
    <row r="79" spans="1:19" x14ac:dyDescent="0.3">
      <c r="A79" t="s">
        <v>32</v>
      </c>
      <c r="B79" s="9">
        <f t="shared" si="28"/>
        <v>89.104745707195349</v>
      </c>
      <c r="C79" s="9">
        <f t="shared" si="29"/>
        <v>91.574165187352463</v>
      </c>
      <c r="D79" s="9">
        <f t="shared" si="30"/>
        <v>89.173234985730147</v>
      </c>
      <c r="E79" s="9">
        <f t="shared" si="31"/>
        <v>89.139616515811952</v>
      </c>
      <c r="F79" s="17">
        <f t="shared" si="44"/>
        <v>10</v>
      </c>
      <c r="G79" s="17">
        <f t="shared" si="49"/>
        <v>23</v>
      </c>
      <c r="H79" s="17">
        <f t="shared" si="50"/>
        <v>15</v>
      </c>
      <c r="I79" s="17">
        <f t="shared" si="51"/>
        <v>13</v>
      </c>
      <c r="K79" s="9">
        <f t="shared" si="33"/>
        <v>0.35235610823191388</v>
      </c>
      <c r="L79" s="9">
        <f t="shared" si="34"/>
        <v>0.3621211889884372</v>
      </c>
      <c r="M79" s="9">
        <f t="shared" si="35"/>
        <v>0.35262694246693244</v>
      </c>
      <c r="N79" s="9">
        <f t="shared" si="36"/>
        <v>0.3524940014756186</v>
      </c>
      <c r="O79" s="17">
        <f t="shared" si="45"/>
        <v>27</v>
      </c>
      <c r="P79" s="17">
        <f t="shared" si="46"/>
        <v>27</v>
      </c>
      <c r="Q79" s="17">
        <f t="shared" si="47"/>
        <v>27</v>
      </c>
      <c r="R79" s="17">
        <f t="shared" si="48"/>
        <v>27</v>
      </c>
      <c r="S79" s="17"/>
    </row>
    <row r="80" spans="1:19" x14ac:dyDescent="0.3">
      <c r="A80" t="s">
        <v>33</v>
      </c>
      <c r="B80" s="9">
        <f t="shared" si="28"/>
        <v>84.959418763201683</v>
      </c>
      <c r="C80" s="9">
        <f t="shared" si="29"/>
        <v>97.277071771165893</v>
      </c>
      <c r="D80" s="9">
        <f t="shared" si="30"/>
        <v>86.783610913851632</v>
      </c>
      <c r="E80" s="9">
        <f t="shared" si="31"/>
        <v>85.955060439318714</v>
      </c>
      <c r="F80" s="16">
        <f t="shared" si="44"/>
        <v>19</v>
      </c>
      <c r="G80" s="16">
        <f t="shared" si="49"/>
        <v>20</v>
      </c>
      <c r="H80" s="16">
        <f t="shared" si="50"/>
        <v>20</v>
      </c>
      <c r="I80" s="16">
        <f t="shared" si="51"/>
        <v>19</v>
      </c>
      <c r="K80" s="9">
        <f t="shared" si="33"/>
        <v>0.4324283565740038</v>
      </c>
      <c r="L80" s="9">
        <f t="shared" si="34"/>
        <v>0.49512302332930247</v>
      </c>
      <c r="M80" s="9">
        <f t="shared" si="35"/>
        <v>0.44171317072721006</v>
      </c>
      <c r="N80" s="9">
        <f t="shared" si="36"/>
        <v>0.43749599592473765</v>
      </c>
      <c r="O80" s="16">
        <f t="shared" si="45"/>
        <v>20</v>
      </c>
      <c r="P80" s="16">
        <f t="shared" si="46"/>
        <v>21</v>
      </c>
      <c r="Q80" s="16">
        <f t="shared" si="47"/>
        <v>20</v>
      </c>
      <c r="R80" s="16">
        <f t="shared" si="48"/>
        <v>20</v>
      </c>
      <c r="S80" s="17"/>
    </row>
    <row r="81" spans="1:23" x14ac:dyDescent="0.3">
      <c r="A81" t="s">
        <v>34</v>
      </c>
      <c r="B81" s="9">
        <f t="shared" si="28"/>
        <v>86.457102425455787</v>
      </c>
      <c r="C81" s="9">
        <f t="shared" si="29"/>
        <v>102.27005202252656</v>
      </c>
      <c r="D81" s="9">
        <f t="shared" si="30"/>
        <v>89.449379128262905</v>
      </c>
      <c r="E81" s="9">
        <f t="shared" si="31"/>
        <v>88.123744732644852</v>
      </c>
      <c r="F81" s="17">
        <f t="shared" si="44"/>
        <v>16</v>
      </c>
      <c r="G81" s="17">
        <f t="shared" si="49"/>
        <v>12</v>
      </c>
      <c r="H81" s="17">
        <f t="shared" si="50"/>
        <v>13</v>
      </c>
      <c r="I81" s="17">
        <f t="shared" si="51"/>
        <v>16</v>
      </c>
      <c r="K81" s="9">
        <f t="shared" si="33"/>
        <v>0.48088578117977798</v>
      </c>
      <c r="L81" s="9">
        <f t="shared" si="34"/>
        <v>0.5688394877743318</v>
      </c>
      <c r="M81" s="9">
        <f t="shared" si="35"/>
        <v>0.4975292179752237</v>
      </c>
      <c r="N81" s="9">
        <f t="shared" si="36"/>
        <v>0.49015586501737718</v>
      </c>
      <c r="O81" s="17">
        <f t="shared" si="45"/>
        <v>13</v>
      </c>
      <c r="P81" s="17">
        <f t="shared" si="46"/>
        <v>11</v>
      </c>
      <c r="Q81" s="17">
        <f t="shared" si="47"/>
        <v>12</v>
      </c>
      <c r="R81" s="17">
        <f t="shared" si="48"/>
        <v>12</v>
      </c>
      <c r="S81" s="17"/>
    </row>
    <row r="82" spans="1:23" x14ac:dyDescent="0.3">
      <c r="A82" t="s">
        <v>35</v>
      </c>
      <c r="B82" s="9">
        <f t="shared" si="28"/>
        <v>83.486356867454646</v>
      </c>
      <c r="C82" s="9">
        <f t="shared" si="29"/>
        <v>99.920724293414196</v>
      </c>
      <c r="D82" s="9">
        <f t="shared" si="30"/>
        <v>86.851892966886979</v>
      </c>
      <c r="E82" s="9">
        <f t="shared" si="31"/>
        <v>85.374481092482554</v>
      </c>
      <c r="F82" s="16">
        <f t="shared" si="44"/>
        <v>21</v>
      </c>
      <c r="G82" s="16">
        <f t="shared" si="49"/>
        <v>15</v>
      </c>
      <c r="H82" s="16">
        <f t="shared" si="50"/>
        <v>19</v>
      </c>
      <c r="I82" s="16">
        <f t="shared" si="51"/>
        <v>20</v>
      </c>
      <c r="K82" s="9">
        <f t="shared" si="33"/>
        <v>0.45686886581987951</v>
      </c>
      <c r="L82" s="9">
        <f t="shared" si="34"/>
        <v>0.54680392932116262</v>
      </c>
      <c r="M82" s="9">
        <f t="shared" si="35"/>
        <v>0.47528635004505254</v>
      </c>
      <c r="N82" s="9">
        <f t="shared" si="36"/>
        <v>0.46720139445788283</v>
      </c>
      <c r="O82" s="16">
        <f t="shared" si="45"/>
        <v>16</v>
      </c>
      <c r="P82" s="16">
        <f t="shared" si="46"/>
        <v>13</v>
      </c>
      <c r="Q82" s="16">
        <f t="shared" si="47"/>
        <v>15</v>
      </c>
      <c r="R82" s="16">
        <f t="shared" si="48"/>
        <v>15</v>
      </c>
      <c r="S82" s="17"/>
    </row>
    <row r="83" spans="1:23" x14ac:dyDescent="0.3">
      <c r="A83" t="s">
        <v>36</v>
      </c>
      <c r="B83" s="9">
        <f t="shared" si="28"/>
        <v>91.938990505604835</v>
      </c>
      <c r="C83" s="9">
        <f t="shared" si="29"/>
        <v>107.24444663379738</v>
      </c>
      <c r="D83" s="9">
        <f t="shared" si="30"/>
        <v>94.559577708853269</v>
      </c>
      <c r="E83" s="9">
        <f t="shared" si="31"/>
        <v>93.386015211130342</v>
      </c>
      <c r="F83" s="17">
        <f t="shared" si="44"/>
        <v>6</v>
      </c>
      <c r="G83" s="17">
        <f t="shared" si="49"/>
        <v>2</v>
      </c>
      <c r="H83" s="17">
        <f t="shared" si="50"/>
        <v>5</v>
      </c>
      <c r="I83" s="17">
        <f t="shared" si="51"/>
        <v>6</v>
      </c>
      <c r="K83" s="9">
        <f t="shared" si="33"/>
        <v>0.53208708450582398</v>
      </c>
      <c r="L83" s="9">
        <f t="shared" si="34"/>
        <v>0.62066577656559052</v>
      </c>
      <c r="M83" s="9">
        <f t="shared" si="35"/>
        <v>0.54725345295300332</v>
      </c>
      <c r="N83" s="9">
        <f t="shared" si="36"/>
        <v>0.54046158538446942</v>
      </c>
      <c r="O83" s="17">
        <f t="shared" si="45"/>
        <v>4</v>
      </c>
      <c r="P83" s="17">
        <f t="shared" si="46"/>
        <v>2</v>
      </c>
      <c r="Q83" s="17">
        <f t="shared" si="47"/>
        <v>4</v>
      </c>
      <c r="R83" s="17">
        <f t="shared" si="48"/>
        <v>4</v>
      </c>
      <c r="S83" s="17"/>
    </row>
    <row r="84" spans="1:23" x14ac:dyDescent="0.3">
      <c r="A84" t="s">
        <v>37</v>
      </c>
      <c r="B84" s="9">
        <f t="shared" si="28"/>
        <v>72.59864738170721</v>
      </c>
      <c r="C84" s="9">
        <f t="shared" si="29"/>
        <v>80.735611498467122</v>
      </c>
      <c r="D84" s="9">
        <f t="shared" si="30"/>
        <v>73.522252965690797</v>
      </c>
      <c r="E84" s="9">
        <f t="shared" si="31"/>
        <v>73.093548568281932</v>
      </c>
      <c r="F84" s="16">
        <f t="shared" si="44"/>
        <v>32</v>
      </c>
      <c r="G84" s="16">
        <f t="shared" si="49"/>
        <v>32</v>
      </c>
      <c r="H84" s="16">
        <f t="shared" si="50"/>
        <v>32</v>
      </c>
      <c r="I84" s="16">
        <f t="shared" si="51"/>
        <v>32</v>
      </c>
      <c r="K84" s="9">
        <f t="shared" si="33"/>
        <v>0.21313931758760779</v>
      </c>
      <c r="L84" s="9">
        <f t="shared" si="34"/>
        <v>0.23702828854821628</v>
      </c>
      <c r="M84" s="9">
        <f t="shared" si="35"/>
        <v>0.21585089240325606</v>
      </c>
      <c r="N84" s="9">
        <f t="shared" si="36"/>
        <v>0.21459227718099014</v>
      </c>
      <c r="O84" s="16">
        <f t="shared" si="45"/>
        <v>32</v>
      </c>
      <c r="P84" s="16">
        <f t="shared" si="46"/>
        <v>32</v>
      </c>
      <c r="Q84" s="16">
        <f t="shared" si="47"/>
        <v>32</v>
      </c>
      <c r="R84" s="16">
        <f t="shared" si="48"/>
        <v>32</v>
      </c>
      <c r="S84" s="17"/>
    </row>
    <row r="85" spans="1:23" x14ac:dyDescent="0.3">
      <c r="A85" t="s">
        <v>38</v>
      </c>
      <c r="B85" s="9">
        <f t="shared" si="28"/>
        <v>79.672970939333325</v>
      </c>
      <c r="C85" s="9">
        <f t="shared" si="29"/>
        <v>91.230756385939031</v>
      </c>
      <c r="D85" s="9">
        <f t="shared" si="30"/>
        <v>81.385646297047202</v>
      </c>
      <c r="E85" s="9">
        <f t="shared" si="31"/>
        <v>80.607789179345986</v>
      </c>
      <c r="F85" s="17">
        <f t="shared" si="44"/>
        <v>26</v>
      </c>
      <c r="G85" s="17">
        <f t="shared" si="49"/>
        <v>24</v>
      </c>
      <c r="H85" s="17">
        <f t="shared" si="50"/>
        <v>26</v>
      </c>
      <c r="I85" s="17">
        <f t="shared" si="51"/>
        <v>26</v>
      </c>
      <c r="K85" s="9">
        <f t="shared" si="33"/>
        <v>0.35938889823103737</v>
      </c>
      <c r="L85" s="9">
        <f t="shared" si="34"/>
        <v>0.41152376566066029</v>
      </c>
      <c r="M85" s="9">
        <f t="shared" si="35"/>
        <v>0.36711443554412337</v>
      </c>
      <c r="N85" s="9">
        <f t="shared" si="36"/>
        <v>0.36360567706284774</v>
      </c>
      <c r="O85" s="17">
        <f t="shared" si="45"/>
        <v>24</v>
      </c>
      <c r="P85" s="17">
        <f t="shared" si="46"/>
        <v>25</v>
      </c>
      <c r="Q85" s="17">
        <f t="shared" si="47"/>
        <v>24</v>
      </c>
      <c r="R85" s="17">
        <f t="shared" si="48"/>
        <v>23</v>
      </c>
      <c r="S85" s="17"/>
    </row>
    <row r="86" spans="1:23" x14ac:dyDescent="0.3">
      <c r="A86" t="s">
        <v>39</v>
      </c>
      <c r="B86" s="9">
        <f t="shared" si="28"/>
        <v>76.280058867277489</v>
      </c>
      <c r="C86" s="9">
        <f t="shared" si="29"/>
        <v>82.711448107125875</v>
      </c>
      <c r="D86" s="9">
        <f t="shared" si="30"/>
        <v>76.826189888195998</v>
      </c>
      <c r="E86" s="9">
        <f t="shared" si="31"/>
        <v>76.56799843851465</v>
      </c>
      <c r="F86" s="16">
        <f t="shared" si="44"/>
        <v>29</v>
      </c>
      <c r="G86" s="16">
        <f t="shared" si="49"/>
        <v>31</v>
      </c>
      <c r="H86" s="16">
        <f t="shared" si="50"/>
        <v>30</v>
      </c>
      <c r="I86" s="16">
        <f t="shared" si="51"/>
        <v>29</v>
      </c>
      <c r="K86" s="9">
        <f t="shared" si="33"/>
        <v>0.22538648358143143</v>
      </c>
      <c r="L86" s="9">
        <f t="shared" si="34"/>
        <v>0.24438946059584363</v>
      </c>
      <c r="M86" s="9">
        <f t="shared" si="35"/>
        <v>0.22700014975064253</v>
      </c>
      <c r="N86" s="9">
        <f t="shared" si="36"/>
        <v>0.22623726540316558</v>
      </c>
      <c r="O86" s="16">
        <f t="shared" si="45"/>
        <v>31</v>
      </c>
      <c r="P86" s="16">
        <f t="shared" si="46"/>
        <v>31</v>
      </c>
      <c r="Q86" s="16">
        <f t="shared" si="47"/>
        <v>31</v>
      </c>
      <c r="R86" s="16">
        <f t="shared" si="48"/>
        <v>31</v>
      </c>
      <c r="S86" s="17"/>
    </row>
    <row r="87" spans="1:23" x14ac:dyDescent="0.3">
      <c r="B87" s="29"/>
      <c r="C87" s="29"/>
      <c r="D87" s="29"/>
      <c r="E87" s="29"/>
      <c r="F87" s="31"/>
      <c r="G87" s="31"/>
      <c r="H87" s="31"/>
      <c r="I87" s="31"/>
      <c r="S87" s="31"/>
    </row>
    <row r="88" spans="1:23" x14ac:dyDescent="0.3">
      <c r="A88" t="s">
        <v>54</v>
      </c>
      <c r="B88" s="19">
        <f>AVERAGE(B52:B86)</f>
        <v>84.592857777129794</v>
      </c>
      <c r="C88" s="19">
        <f t="shared" ref="C88:E88" si="52">AVERAGE(C52:C86)</f>
        <v>95.611750638110792</v>
      </c>
      <c r="D88" s="19">
        <f t="shared" si="52"/>
        <v>86.359255568468981</v>
      </c>
      <c r="E88" s="19">
        <f t="shared" si="52"/>
        <v>85.568916012642532</v>
      </c>
      <c r="F88" s="31"/>
      <c r="G88" s="31"/>
      <c r="H88" s="31"/>
      <c r="I88" s="31"/>
      <c r="J88" t="s">
        <v>54</v>
      </c>
      <c r="K88" s="19">
        <f t="shared" ref="K88:N88" si="53">AVERAGE(K52:K86)</f>
        <v>0.40355520113981358</v>
      </c>
      <c r="L88" s="19">
        <f t="shared" si="53"/>
        <v>0.45923421629221206</v>
      </c>
      <c r="M88" s="19">
        <f t="shared" si="53"/>
        <v>0.41273677003375375</v>
      </c>
      <c r="N88" s="19">
        <f t="shared" si="53"/>
        <v>0.4086352845930864</v>
      </c>
      <c r="S88" s="31"/>
    </row>
    <row r="89" spans="1:23" x14ac:dyDescent="0.3">
      <c r="A89" t="s">
        <v>55</v>
      </c>
      <c r="B89" s="20">
        <f>_xlfn.STDEV.P(B52:B86)</f>
        <v>8.3819652910340317</v>
      </c>
      <c r="C89" s="20">
        <f t="shared" ref="C89:E89" si="54">_xlfn.STDEV.P(C52:C86)</f>
        <v>9.9530525907599063</v>
      </c>
      <c r="D89" s="20">
        <f t="shared" si="54"/>
        <v>8.4670869527445607</v>
      </c>
      <c r="E89" s="20">
        <f t="shared" si="54"/>
        <v>8.4080906511037892</v>
      </c>
      <c r="J89" t="s">
        <v>55</v>
      </c>
      <c r="K89" s="20">
        <f t="shared" ref="K89:N89" si="55">_xlfn.STDEV.P(K52:K86)</f>
        <v>0.13375147050796363</v>
      </c>
      <c r="L89" s="20">
        <f t="shared" si="55"/>
        <v>0.15576968163899949</v>
      </c>
      <c r="M89" s="20">
        <f t="shared" si="55"/>
        <v>0.13739771415381119</v>
      </c>
      <c r="N89" s="20">
        <f t="shared" si="55"/>
        <v>0.13574526728548561</v>
      </c>
    </row>
    <row r="90" spans="1:23" x14ac:dyDescent="0.3">
      <c r="A90" t="s">
        <v>53</v>
      </c>
      <c r="B90" s="20">
        <f>B89/B88</f>
        <v>9.9085969091118095E-2</v>
      </c>
      <c r="C90" s="20">
        <f t="shared" ref="C90:E90" si="56">C89/C88</f>
        <v>0.10409863352917863</v>
      </c>
      <c r="D90" s="22">
        <f t="shared" si="56"/>
        <v>9.8044927518296215E-2</v>
      </c>
      <c r="E90" s="22">
        <f t="shared" si="56"/>
        <v>9.8261039673115891E-2</v>
      </c>
      <c r="J90" t="s">
        <v>53</v>
      </c>
      <c r="K90" s="24">
        <f t="shared" ref="K90" si="57">K89/K88</f>
        <v>0.33143289971283213</v>
      </c>
      <c r="L90" s="23">
        <f t="shared" ref="L90" si="58">L89/L88</f>
        <v>0.33919441564407038</v>
      </c>
      <c r="M90" s="22">
        <f t="shared" ref="M90" si="59">M89/M88</f>
        <v>0.33289429033079548</v>
      </c>
      <c r="N90" s="22">
        <f t="shared" ref="N90" si="60">N89/N88</f>
        <v>0.33219174262119566</v>
      </c>
    </row>
    <row r="91" spans="1:23" x14ac:dyDescent="0.3">
      <c r="A91" t="s">
        <v>56</v>
      </c>
      <c r="B91" s="20">
        <f>B89/SQRT(35)</f>
        <v>1.416810725740832</v>
      </c>
      <c r="C91" s="20">
        <f t="shared" ref="C91:E91" si="61">C89/SQRT(35)</f>
        <v>1.682372948923484</v>
      </c>
      <c r="D91" s="20">
        <f t="shared" si="61"/>
        <v>1.431198912653675</v>
      </c>
      <c r="E91" s="20">
        <f t="shared" si="61"/>
        <v>1.4212267175846862</v>
      </c>
      <c r="J91" t="s">
        <v>56</v>
      </c>
      <c r="K91" s="20">
        <f t="shared" ref="K91:N91" si="62">K89/SQRT(35)</f>
        <v>2.2608124875200232E-2</v>
      </c>
      <c r="L91" s="20">
        <f t="shared" si="62"/>
        <v>2.632988183898138E-2</v>
      </c>
      <c r="M91" s="20">
        <f t="shared" si="62"/>
        <v>2.3224452541413209E-2</v>
      </c>
      <c r="N91" s="20">
        <f t="shared" si="62"/>
        <v>2.2945138041117575E-2</v>
      </c>
    </row>
    <row r="92" spans="1:23" x14ac:dyDescent="0.3">
      <c r="B92" s="20"/>
      <c r="C92" s="20"/>
      <c r="D92" s="20"/>
      <c r="E92" s="20"/>
      <c r="T92" s="20"/>
      <c r="U92" s="20"/>
      <c r="V92" s="20"/>
      <c r="W92" s="20"/>
    </row>
    <row r="93" spans="1:23" x14ac:dyDescent="0.3">
      <c r="A93" t="s">
        <v>114</v>
      </c>
    </row>
    <row r="95" spans="1:23" x14ac:dyDescent="0.3">
      <c r="B95" s="32" t="s">
        <v>50</v>
      </c>
    </row>
    <row r="102" spans="2:2" x14ac:dyDescent="0.3">
      <c r="B102" s="32" t="s">
        <v>115</v>
      </c>
    </row>
    <row r="103" spans="2:2" x14ac:dyDescent="0.3">
      <c r="B103" s="60" t="s">
        <v>116</v>
      </c>
    </row>
    <row r="104" spans="2:2" x14ac:dyDescent="0.3">
      <c r="B104" s="60" t="s">
        <v>117</v>
      </c>
    </row>
  </sheetData>
  <mergeCells count="11">
    <mergeCell ref="T4:W4"/>
    <mergeCell ref="X4:AA4"/>
    <mergeCell ref="O50:R50"/>
    <mergeCell ref="A4:A5"/>
    <mergeCell ref="B50:E50"/>
    <mergeCell ref="F50:I50"/>
    <mergeCell ref="A50:A51"/>
    <mergeCell ref="K50:N50"/>
    <mergeCell ref="F4:I4"/>
    <mergeCell ref="K4:M4"/>
    <mergeCell ref="O4:R4"/>
  </mergeCells>
  <conditionalFormatting sqref="B52:E88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52:N86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88:N8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42:R42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42:W42 T6:W40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hyperlinks>
    <hyperlink ref="B103" r:id="rId1" location="section-d1e1150-4103b9b836  " xr:uid="{CF656D27-A592-40A6-AB7A-5517CB7D3CC2}"/>
    <hyperlink ref="B104" r:id="rId2" xr:uid="{B2146C7C-6FF5-4452-8B97-D07A97FF36DE}"/>
  </hyperlinks>
  <pageMargins left="0.7" right="0.7" top="0.75" bottom="0.75" header="0.3" footer="0.3"/>
  <ignoredErrors>
    <ignoredError sqref="K6 K7:K40 L6:L40 N6:N40" formulaRange="1"/>
    <ignoredError sqref="G6:G40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C7F6-D336-4E7E-8F67-D6195DDE3020}">
  <dimension ref="A2:H41"/>
  <sheetViews>
    <sheetView workbookViewId="0">
      <selection activeCell="F10" sqref="F10"/>
    </sheetView>
  </sheetViews>
  <sheetFormatPr defaultColWidth="11.5546875" defaultRowHeight="14.4" x14ac:dyDescent="0.3"/>
  <cols>
    <col min="6" max="6" width="13.109375" customWidth="1"/>
  </cols>
  <sheetData>
    <row r="2" spans="1:8" x14ac:dyDescent="0.3">
      <c r="B2" s="32" t="s">
        <v>102</v>
      </c>
      <c r="E2" s="37"/>
    </row>
    <row r="3" spans="1:8" x14ac:dyDescent="0.3">
      <c r="B3" s="1" t="s">
        <v>47</v>
      </c>
      <c r="C3" s="1" t="s">
        <v>64</v>
      </c>
      <c r="D3" s="1" t="s">
        <v>48</v>
      </c>
      <c r="E3" s="1" t="s">
        <v>49</v>
      </c>
      <c r="F3" s="8" t="s">
        <v>81</v>
      </c>
      <c r="G3" s="8" t="s">
        <v>82</v>
      </c>
      <c r="H3" s="8" t="s">
        <v>83</v>
      </c>
    </row>
    <row r="4" spans="1:8" x14ac:dyDescent="0.3">
      <c r="A4" s="3" t="s">
        <v>5</v>
      </c>
      <c r="B4" s="36">
        <f>Tables!F6</f>
        <v>121.13636363636365</v>
      </c>
      <c r="C4" s="36">
        <f>Tables!G6</f>
        <v>123.70491803278688</v>
      </c>
      <c r="D4" s="36">
        <f>Tables!H6</f>
        <v>95.714285714285722</v>
      </c>
      <c r="E4" s="36">
        <f>Tables!I6</f>
        <v>84.482758620689651</v>
      </c>
      <c r="F4" s="36">
        <f>SQRT(SUMXMY2(B4:E4,B$40:E$40))</f>
        <v>58.013115529376144</v>
      </c>
      <c r="G4" s="36">
        <f>SQRT(SUMXMY2(B4:E4,B$41:E$41))</f>
        <v>79.813035864574474</v>
      </c>
      <c r="H4" s="20">
        <f>G4/(G4+F4)</f>
        <v>0.57908484752246792</v>
      </c>
    </row>
    <row r="5" spans="1:8" x14ac:dyDescent="0.3">
      <c r="A5" s="5" t="s">
        <v>6</v>
      </c>
      <c r="B5" s="36">
        <f>Tables!F7</f>
        <v>113.63636363636368</v>
      </c>
      <c r="C5" s="36">
        <f>Tables!G7</f>
        <v>118</v>
      </c>
      <c r="D5" s="36">
        <f>Tables!H7</f>
        <v>114.28571428571429</v>
      </c>
      <c r="E5" s="36">
        <f>Tables!I7</f>
        <v>98.965517241379303</v>
      </c>
      <c r="F5" s="36">
        <f t="shared" ref="F5:F38" si="0">SQRT(SUMXMY2(B5:E5,B$40:E$40))</f>
        <v>40.272155276898829</v>
      </c>
      <c r="G5" s="36">
        <f t="shared" ref="G5:G38" si="1">SQRT(SUMXMY2(B5:E5,B$41:E$41))</f>
        <v>83.715935820257812</v>
      </c>
      <c r="H5" s="20">
        <f t="shared" ref="H5:H38" si="2">G5/(G5+F5)</f>
        <v>0.67519335993856289</v>
      </c>
    </row>
    <row r="6" spans="1:8" x14ac:dyDescent="0.3">
      <c r="A6" s="3" t="s">
        <v>7</v>
      </c>
      <c r="B6" s="36">
        <f>Tables!F8</f>
        <v>117.72727272727275</v>
      </c>
      <c r="C6" s="36">
        <f>Tables!G8</f>
        <v>116.22950819672131</v>
      </c>
      <c r="D6" s="36">
        <f>Tables!H8</f>
        <v>84.285714285714292</v>
      </c>
      <c r="E6" s="36">
        <f>Tables!I8</f>
        <v>92.758620689655174</v>
      </c>
      <c r="F6" s="36">
        <f t="shared" si="0"/>
        <v>61.781571123752066</v>
      </c>
      <c r="G6" s="36">
        <f t="shared" si="1"/>
        <v>71.673540713731015</v>
      </c>
      <c r="H6" s="20">
        <f t="shared" si="2"/>
        <v>0.53706103668035221</v>
      </c>
    </row>
    <row r="7" spans="1:8" x14ac:dyDescent="0.3">
      <c r="A7" s="5" t="s">
        <v>8</v>
      </c>
      <c r="B7" s="36">
        <f>Tables!F9</f>
        <v>112.27272727272731</v>
      </c>
      <c r="C7" s="36">
        <f>Tables!G9</f>
        <v>116.22950819672131</v>
      </c>
      <c r="D7" s="36">
        <f>Tables!H9</f>
        <v>74.285714285714292</v>
      </c>
      <c r="E7" s="36">
        <f>Tables!I9</f>
        <v>77.758620689655174</v>
      </c>
      <c r="F7" s="36">
        <f t="shared" si="0"/>
        <v>79.606067531009572</v>
      </c>
      <c r="G7" s="36">
        <f t="shared" si="1"/>
        <v>63.267009105297738</v>
      </c>
      <c r="H7" s="20">
        <f t="shared" si="2"/>
        <v>0.44281967320090698</v>
      </c>
    </row>
    <row r="8" spans="1:8" x14ac:dyDescent="0.3">
      <c r="A8" s="3" t="s">
        <v>9</v>
      </c>
      <c r="B8" s="36">
        <f>Tables!F10</f>
        <v>111.59090909090907</v>
      </c>
      <c r="C8" s="36">
        <f>Tables!G10</f>
        <v>107.37704918032787</v>
      </c>
      <c r="D8" s="36">
        <f>Tables!H10</f>
        <v>82.857142857142861</v>
      </c>
      <c r="E8" s="36">
        <f>Tables!I10</f>
        <v>74.65517241379311</v>
      </c>
      <c r="F8" s="36">
        <f t="shared" si="0"/>
        <v>78.3338461460133</v>
      </c>
      <c r="G8" s="36">
        <f t="shared" si="1"/>
        <v>57.565825600681094</v>
      </c>
      <c r="H8" s="20">
        <f t="shared" si="2"/>
        <v>0.42359061549448751</v>
      </c>
    </row>
    <row r="9" spans="1:8" x14ac:dyDescent="0.3">
      <c r="A9" s="5" t="s">
        <v>10</v>
      </c>
      <c r="B9" s="36">
        <f>Tables!F11</f>
        <v>83.63636363636364</v>
      </c>
      <c r="C9" s="36">
        <f>Tables!G11</f>
        <v>70</v>
      </c>
      <c r="D9" s="36">
        <f>Tables!H11</f>
        <v>71.428571428571431</v>
      </c>
      <c r="E9" s="36">
        <f>Tables!I11</f>
        <v>74.65517241379311</v>
      </c>
      <c r="F9" s="36">
        <f t="shared" si="0"/>
        <v>110.6492158232693</v>
      </c>
      <c r="G9" s="36">
        <f t="shared" si="1"/>
        <v>14.479705098924205</v>
      </c>
      <c r="H9" s="20">
        <f t="shared" si="2"/>
        <v>0.1157182927192974</v>
      </c>
    </row>
    <row r="10" spans="1:8" x14ac:dyDescent="0.3">
      <c r="A10" s="3" t="s">
        <v>11</v>
      </c>
      <c r="B10" s="36">
        <f>Tables!F12</f>
        <v>100.00000000000004</v>
      </c>
      <c r="C10" s="36">
        <f>Tables!G12</f>
        <v>107.37704918032787</v>
      </c>
      <c r="D10" s="36">
        <f>Tables!H12</f>
        <v>95.714285714285722</v>
      </c>
      <c r="E10" s="36">
        <f>Tables!I12</f>
        <v>97.931034482758619</v>
      </c>
      <c r="F10" s="36">
        <f t="shared" si="0"/>
        <v>60.130912659105299</v>
      </c>
      <c r="G10" s="36">
        <f t="shared" si="1"/>
        <v>61.142546418199011</v>
      </c>
      <c r="H10" s="20">
        <f t="shared" si="2"/>
        <v>0.50417087863573207</v>
      </c>
    </row>
    <row r="11" spans="1:8" x14ac:dyDescent="0.3">
      <c r="A11" s="5" t="s">
        <v>12</v>
      </c>
      <c r="B11" s="36">
        <f>Tables!F13</f>
        <v>112.95454545454545</v>
      </c>
      <c r="C11" s="36">
        <f>Tables!G13</f>
        <v>118</v>
      </c>
      <c r="D11" s="36">
        <f>Tables!H13</f>
        <v>100</v>
      </c>
      <c r="E11" s="36">
        <f>Tables!I13</f>
        <v>76.724137931034477</v>
      </c>
      <c r="F11" s="36">
        <f t="shared" si="0"/>
        <v>64.597716676772691</v>
      </c>
      <c r="G11" s="36">
        <f t="shared" si="1"/>
        <v>71.374414226122994</v>
      </c>
      <c r="H11" s="20">
        <f t="shared" si="2"/>
        <v>0.52491943571212352</v>
      </c>
    </row>
    <row r="12" spans="1:8" x14ac:dyDescent="0.3">
      <c r="A12" s="3" t="s">
        <v>13</v>
      </c>
      <c r="B12" s="36">
        <f>Tables!F14</f>
        <v>94.545454545454518</v>
      </c>
      <c r="C12" s="36">
        <f>Tables!G14</f>
        <v>88.885245901639351</v>
      </c>
      <c r="D12" s="36">
        <f>Tables!H14</f>
        <v>85.714285714285722</v>
      </c>
      <c r="E12" s="36">
        <f>Tables!I14</f>
        <v>86.034482758620683</v>
      </c>
      <c r="F12" s="36">
        <f t="shared" si="0"/>
        <v>82.714200679538919</v>
      </c>
      <c r="G12" s="36">
        <f t="shared" si="1"/>
        <v>38.25147401676265</v>
      </c>
      <c r="H12" s="20">
        <f t="shared" si="2"/>
        <v>0.31621758910366465</v>
      </c>
    </row>
    <row r="13" spans="1:8" x14ac:dyDescent="0.3">
      <c r="A13" s="5" t="s">
        <v>14</v>
      </c>
      <c r="B13" s="36">
        <f>Tables!F15</f>
        <v>111.59090909090907</v>
      </c>
      <c r="C13" s="36">
        <f>Tables!G15</f>
        <v>114.85245901639345</v>
      </c>
      <c r="D13" s="36">
        <f>Tables!H15</f>
        <v>77.142857142857139</v>
      </c>
      <c r="E13" s="36">
        <f>Tables!I15</f>
        <v>78.275862068965523</v>
      </c>
      <c r="F13" s="36">
        <f t="shared" si="0"/>
        <v>77.702037435824693</v>
      </c>
      <c r="G13" s="36">
        <f t="shared" si="1"/>
        <v>62.137404998706891</v>
      </c>
      <c r="H13" s="20">
        <f t="shared" si="2"/>
        <v>0.44434820331751301</v>
      </c>
    </row>
    <row r="14" spans="1:8" x14ac:dyDescent="0.3">
      <c r="A14" s="3" t="s">
        <v>15</v>
      </c>
      <c r="B14" s="36">
        <f>Tables!F16</f>
        <v>121.13636363636365</v>
      </c>
      <c r="C14" s="36">
        <f>Tables!G16</f>
        <v>120.55737704918033</v>
      </c>
      <c r="D14" s="36">
        <f>Tables!H16</f>
        <v>91.428571428571431</v>
      </c>
      <c r="E14" s="36">
        <f>Tables!I16</f>
        <v>92.758620689655174</v>
      </c>
      <c r="F14" s="36">
        <f t="shared" si="0"/>
        <v>55.157978686278184</v>
      </c>
      <c r="G14" s="36">
        <f t="shared" si="1"/>
        <v>78.409913590109198</v>
      </c>
      <c r="H14" s="20">
        <f t="shared" si="2"/>
        <v>0.58704163293868772</v>
      </c>
    </row>
    <row r="15" spans="1:8" x14ac:dyDescent="0.3">
      <c r="A15" s="5" t="s">
        <v>16</v>
      </c>
      <c r="B15" s="36">
        <f>Tables!F17</f>
        <v>108.18181818181816</v>
      </c>
      <c r="C15" s="36">
        <f>Tables!G17</f>
        <v>114.0655737704918</v>
      </c>
      <c r="D15" s="36">
        <f>Tables!H17</f>
        <v>102.85714285714286</v>
      </c>
      <c r="E15" s="36">
        <f>Tables!I17</f>
        <v>104.65517241379311</v>
      </c>
      <c r="F15" s="36">
        <f t="shared" si="0"/>
        <v>45.924219932046583</v>
      </c>
      <c r="G15" s="36">
        <f t="shared" si="1"/>
        <v>75.36709390149322</v>
      </c>
      <c r="H15" s="20">
        <f t="shared" si="2"/>
        <v>0.62137255768312494</v>
      </c>
    </row>
    <row r="16" spans="1:8" x14ac:dyDescent="0.3">
      <c r="A16" s="3" t="s">
        <v>17</v>
      </c>
      <c r="B16" s="36">
        <f>Tables!F18</f>
        <v>112.95454545454545</v>
      </c>
      <c r="C16" s="36">
        <f>Tables!G18</f>
        <v>110.52459016393442</v>
      </c>
      <c r="D16" s="36">
        <f>Tables!H18</f>
        <v>130</v>
      </c>
      <c r="E16" s="36">
        <f>Tables!I18</f>
        <v>86.551724137931032</v>
      </c>
      <c r="F16" s="36">
        <f t="shared" si="0"/>
        <v>50.57263869258081</v>
      </c>
      <c r="G16" s="36">
        <f t="shared" si="1"/>
        <v>85.797989225270484</v>
      </c>
      <c r="H16" s="20">
        <f t="shared" si="2"/>
        <v>0.62915299676521685</v>
      </c>
    </row>
    <row r="17" spans="1:8" x14ac:dyDescent="0.3">
      <c r="A17" s="5" t="s">
        <v>18</v>
      </c>
      <c r="B17" s="36">
        <f>Tables!F19</f>
        <v>78.181818181818201</v>
      </c>
      <c r="C17" s="36">
        <f>Tables!G19</f>
        <v>75.704918032786878</v>
      </c>
      <c r="D17" s="36">
        <f>Tables!H19</f>
        <v>87.142857142857153</v>
      </c>
      <c r="E17" s="36">
        <f>Tables!I19</f>
        <v>98.448275862068968</v>
      </c>
      <c r="F17" s="36">
        <f t="shared" si="0"/>
        <v>92.007205602181983</v>
      </c>
      <c r="G17" s="36">
        <f t="shared" si="1"/>
        <v>34.679535594726929</v>
      </c>
      <c r="H17" s="20">
        <f t="shared" si="2"/>
        <v>0.27374242376970298</v>
      </c>
    </row>
    <row r="18" spans="1:8" x14ac:dyDescent="0.3">
      <c r="A18" s="3" t="s">
        <v>19</v>
      </c>
      <c r="B18" s="36">
        <f>Tables!F20</f>
        <v>117.04545454545459</v>
      </c>
      <c r="C18" s="36">
        <f>Tables!G20</f>
        <v>122.91803278688525</v>
      </c>
      <c r="D18" s="36">
        <f>Tables!H20</f>
        <v>100</v>
      </c>
      <c r="E18" s="36">
        <f>Tables!I20</f>
        <v>78.275862068965523</v>
      </c>
      <c r="F18" s="36">
        <f t="shared" si="0"/>
        <v>61.590266700593162</v>
      </c>
      <c r="G18" s="36">
        <f t="shared" si="1"/>
        <v>77.343925943844084</v>
      </c>
      <c r="H18" s="20">
        <f t="shared" si="2"/>
        <v>0.55669468020578616</v>
      </c>
    </row>
    <row r="19" spans="1:8" x14ac:dyDescent="0.3">
      <c r="A19" s="5" t="s">
        <v>20</v>
      </c>
      <c r="B19" s="36">
        <f>Tables!F21</f>
        <v>120.45454545454551</v>
      </c>
      <c r="C19" s="36">
        <f>Tables!G21</f>
        <v>119.77049180327869</v>
      </c>
      <c r="D19" s="36">
        <f>Tables!H21</f>
        <v>90</v>
      </c>
      <c r="E19" s="36">
        <f>Tables!I21</f>
        <v>79.827586206896555</v>
      </c>
      <c r="F19" s="36">
        <f t="shared" si="0"/>
        <v>65.673660216654</v>
      </c>
      <c r="G19" s="36">
        <f t="shared" si="1"/>
        <v>74.292290730727998</v>
      </c>
      <c r="H19" s="20">
        <f t="shared" si="2"/>
        <v>0.53078831121332515</v>
      </c>
    </row>
    <row r="20" spans="1:8" x14ac:dyDescent="0.3">
      <c r="A20" s="3" t="s">
        <v>21</v>
      </c>
      <c r="B20" s="36">
        <f>Tables!F22</f>
        <v>126.59090909090909</v>
      </c>
      <c r="C20" s="36">
        <f>Tables!G22</f>
        <v>126.0655737704918</v>
      </c>
      <c r="D20" s="36">
        <f>Tables!H22</f>
        <v>85.714285714285722</v>
      </c>
      <c r="E20" s="36">
        <f>Tables!I22</f>
        <v>80.34482758620689</v>
      </c>
      <c r="F20" s="36">
        <f t="shared" si="0"/>
        <v>66.738012015801957</v>
      </c>
      <c r="G20" s="36">
        <f t="shared" si="1"/>
        <v>81.85251240645303</v>
      </c>
      <c r="H20" s="20">
        <f t="shared" si="2"/>
        <v>0.55085957011531794</v>
      </c>
    </row>
    <row r="21" spans="1:8" x14ac:dyDescent="0.3">
      <c r="A21" s="5" t="s">
        <v>22</v>
      </c>
      <c r="B21" s="36">
        <f>Tables!F23</f>
        <v>124.54545454545456</v>
      </c>
      <c r="C21" s="36">
        <f>Tables!G23</f>
        <v>123.90163934426229</v>
      </c>
      <c r="D21" s="36">
        <f>Tables!H23</f>
        <v>112.85714285714286</v>
      </c>
      <c r="E21" s="36">
        <f>Tables!I23</f>
        <v>80.34482758620689</v>
      </c>
      <c r="F21" s="36">
        <f t="shared" si="0"/>
        <v>53.164422006329389</v>
      </c>
      <c r="G21" s="36">
        <f t="shared" si="1"/>
        <v>88.455319157386299</v>
      </c>
      <c r="H21" s="20">
        <f t="shared" si="2"/>
        <v>0.62459737908382362</v>
      </c>
    </row>
    <row r="22" spans="1:8" x14ac:dyDescent="0.3">
      <c r="A22" s="3" t="s">
        <v>23</v>
      </c>
      <c r="B22" s="36">
        <f>Tables!F24</f>
        <v>128.63636363636363</v>
      </c>
      <c r="C22" s="36">
        <f>Tables!G24</f>
        <v>125.8688524590164</v>
      </c>
      <c r="D22" s="36">
        <f>Tables!H24</f>
        <v>72.857142857142861</v>
      </c>
      <c r="E22" s="36">
        <f>Tables!I24</f>
        <v>129.48275862068965</v>
      </c>
      <c r="F22" s="36">
        <f t="shared" si="0"/>
        <v>57.310553524033047</v>
      </c>
      <c r="G22" s="36">
        <f t="shared" si="1"/>
        <v>100.52817343419983</v>
      </c>
      <c r="H22" s="20">
        <f t="shared" si="2"/>
        <v>0.63690436036525744</v>
      </c>
    </row>
    <row r="23" spans="1:8" x14ac:dyDescent="0.3">
      <c r="A23" s="5" t="s">
        <v>24</v>
      </c>
      <c r="B23" s="36">
        <f>Tables!F25</f>
        <v>124.54545454545456</v>
      </c>
      <c r="C23" s="36">
        <f>Tables!G25</f>
        <v>122.72131147540983</v>
      </c>
      <c r="D23" s="36">
        <f>Tables!H25</f>
        <v>74.285714285714292</v>
      </c>
      <c r="E23" s="36">
        <f>Tables!I25</f>
        <v>130</v>
      </c>
      <c r="F23" s="36">
        <f t="shared" si="0"/>
        <v>56.451864498940722</v>
      </c>
      <c r="G23" s="36">
        <f t="shared" si="1"/>
        <v>96.814826561824745</v>
      </c>
      <c r="H23" s="20">
        <f t="shared" si="2"/>
        <v>0.63167558385820877</v>
      </c>
    </row>
    <row r="24" spans="1:8" x14ac:dyDescent="0.3">
      <c r="A24" s="3" t="s">
        <v>25</v>
      </c>
      <c r="B24" s="36">
        <f>Tables!F26</f>
        <v>70.681818181818144</v>
      </c>
      <c r="C24" s="36">
        <f>Tables!G26</f>
        <v>71.377049180327873</v>
      </c>
      <c r="D24" s="36">
        <f>Tables!H26</f>
        <v>84.285714285714292</v>
      </c>
      <c r="E24" s="36">
        <f>Tables!I26</f>
        <v>90.689655172413794</v>
      </c>
      <c r="F24" s="36">
        <f t="shared" si="0"/>
        <v>102.90965059629568</v>
      </c>
      <c r="G24" s="36">
        <f t="shared" si="1"/>
        <v>25.189374829172511</v>
      </c>
      <c r="H24" s="20">
        <f t="shared" si="2"/>
        <v>0.19663986314890766</v>
      </c>
    </row>
    <row r="25" spans="1:8" x14ac:dyDescent="0.3">
      <c r="A25" s="5" t="s">
        <v>26</v>
      </c>
      <c r="B25" s="36">
        <f>Tables!F27</f>
        <v>84.318181818181785</v>
      </c>
      <c r="C25" s="36">
        <f>Tables!G27</f>
        <v>82.393442622950815</v>
      </c>
      <c r="D25" s="36">
        <f>Tables!H27</f>
        <v>101.42857142857143</v>
      </c>
      <c r="E25" s="36">
        <f>Tables!I27</f>
        <v>93.275862068965523</v>
      </c>
      <c r="F25" s="36">
        <f t="shared" si="0"/>
        <v>80.735380441791833</v>
      </c>
      <c r="G25" s="36">
        <f t="shared" si="1"/>
        <v>43.452601852147012</v>
      </c>
      <c r="H25" s="20">
        <f t="shared" si="2"/>
        <v>0.34989377433719504</v>
      </c>
    </row>
    <row r="26" spans="1:8" x14ac:dyDescent="0.3">
      <c r="A26" s="3" t="s">
        <v>27</v>
      </c>
      <c r="B26" s="36">
        <f>Tables!F28</f>
        <v>123.86363636363643</v>
      </c>
      <c r="C26" s="36">
        <f>Tables!G28</f>
        <v>128.22950819672133</v>
      </c>
      <c r="D26" s="36">
        <f>Tables!H28</f>
        <v>92.857142857142861</v>
      </c>
      <c r="E26" s="36">
        <f>Tables!I28</f>
        <v>85</v>
      </c>
      <c r="F26" s="36">
        <f t="shared" si="0"/>
        <v>58.697371633130693</v>
      </c>
      <c r="G26" s="36">
        <f t="shared" si="1"/>
        <v>83.901227206387929</v>
      </c>
      <c r="H26" s="20">
        <f t="shared" si="2"/>
        <v>0.58837343346417392</v>
      </c>
    </row>
    <row r="27" spans="1:8" x14ac:dyDescent="0.3">
      <c r="A27" s="5" t="s">
        <v>28</v>
      </c>
      <c r="B27" s="36">
        <f>Tables!F29</f>
        <v>70</v>
      </c>
      <c r="C27" s="36">
        <f>Tables!G29</f>
        <v>70.196721311475414</v>
      </c>
      <c r="D27" s="36">
        <f>Tables!H29</f>
        <v>74.285714285714292</v>
      </c>
      <c r="E27" s="36">
        <f>Tables!I29</f>
        <v>70</v>
      </c>
      <c r="F27" s="36">
        <f t="shared" si="0"/>
        <v>117.81559223867781</v>
      </c>
      <c r="G27" s="36">
        <f t="shared" si="1"/>
        <v>4.2902268253746403</v>
      </c>
      <c r="H27" s="20">
        <f t="shared" si="2"/>
        <v>3.5135318351405813E-2</v>
      </c>
    </row>
    <row r="28" spans="1:8" x14ac:dyDescent="0.3">
      <c r="A28" s="3" t="s">
        <v>29</v>
      </c>
      <c r="B28" s="36">
        <f>Tables!F30</f>
        <v>113.63636363636368</v>
      </c>
      <c r="C28" s="36">
        <f>Tables!G30</f>
        <v>123.11475409836066</v>
      </c>
      <c r="D28" s="36">
        <f>Tables!H30</f>
        <v>91.428571428571431</v>
      </c>
      <c r="E28" s="36">
        <f>Tables!I30</f>
        <v>76.724137931034477</v>
      </c>
      <c r="F28" s="36">
        <f t="shared" si="0"/>
        <v>68.126703922908362</v>
      </c>
      <c r="G28" s="36">
        <f t="shared" si="1"/>
        <v>72.316713412040841</v>
      </c>
      <c r="H28" s="20">
        <f t="shared" si="2"/>
        <v>0.5149170732549877</v>
      </c>
    </row>
    <row r="29" spans="1:8" x14ac:dyDescent="0.3">
      <c r="A29" s="5" t="s">
        <v>30</v>
      </c>
      <c r="B29" s="36">
        <f>Tables!F31</f>
        <v>89.772727272727323</v>
      </c>
      <c r="C29" s="36">
        <f>Tables!G31</f>
        <v>90.26229508196721</v>
      </c>
      <c r="D29" s="36">
        <f>Tables!H31</f>
        <v>91.428571428571431</v>
      </c>
      <c r="E29" s="36">
        <f>Tables!I31</f>
        <v>97.413793103448285</v>
      </c>
      <c r="F29" s="36">
        <f t="shared" si="0"/>
        <v>75.808539394798487</v>
      </c>
      <c r="G29" s="36">
        <f t="shared" si="1"/>
        <v>44.857787189945334</v>
      </c>
      <c r="H29" s="20">
        <f t="shared" si="2"/>
        <v>0.37175066532287088</v>
      </c>
    </row>
    <row r="30" spans="1:8" x14ac:dyDescent="0.3">
      <c r="A30" s="3" t="s">
        <v>31</v>
      </c>
      <c r="B30" s="36">
        <f>Tables!F32</f>
        <v>117.72727272727275</v>
      </c>
      <c r="C30" s="36">
        <f>Tables!G32</f>
        <v>117.01639344262296</v>
      </c>
      <c r="D30" s="36">
        <f>Tables!H32</f>
        <v>118.57142857142858</v>
      </c>
      <c r="E30" s="36">
        <f>Tables!I32</f>
        <v>82.41379310344827</v>
      </c>
      <c r="F30" s="36">
        <f t="shared" si="0"/>
        <v>52.098495233997816</v>
      </c>
      <c r="G30" s="36">
        <f t="shared" si="1"/>
        <v>83.676279476441835</v>
      </c>
      <c r="H30" s="20">
        <f t="shared" si="2"/>
        <v>0.61628737484480622</v>
      </c>
    </row>
    <row r="31" spans="1:8" x14ac:dyDescent="0.3">
      <c r="A31" s="5" t="s">
        <v>32</v>
      </c>
      <c r="B31" s="36">
        <f>Tables!F33</f>
        <v>88.409090909090935</v>
      </c>
      <c r="C31" s="36">
        <f>Tables!G33</f>
        <v>94</v>
      </c>
      <c r="D31" s="36">
        <f>Tables!H33</f>
        <v>90</v>
      </c>
      <c r="E31" s="36">
        <f>Tables!I33</f>
        <v>94.310344827586206</v>
      </c>
      <c r="F31" s="36">
        <f t="shared" si="0"/>
        <v>76.808562057455973</v>
      </c>
      <c r="G31" s="36">
        <f t="shared" si="1"/>
        <v>43.656471384381511</v>
      </c>
      <c r="H31" s="20">
        <f t="shared" si="2"/>
        <v>0.36239952903395478</v>
      </c>
    </row>
    <row r="32" spans="1:8" x14ac:dyDescent="0.3">
      <c r="A32" s="3" t="s">
        <v>33</v>
      </c>
      <c r="B32" s="36">
        <f>Tables!F34</f>
        <v>114.31818181818184</v>
      </c>
      <c r="C32" s="36">
        <f>Tables!G34</f>
        <v>115.63934426229508</v>
      </c>
      <c r="D32" s="36">
        <f>Tables!H34</f>
        <v>85.714285714285722</v>
      </c>
      <c r="E32" s="36">
        <f>Tables!I34</f>
        <v>86.034482758620683</v>
      </c>
      <c r="F32" s="36">
        <f t="shared" si="0"/>
        <v>65.92677036532595</v>
      </c>
      <c r="G32" s="36">
        <f t="shared" si="1"/>
        <v>67.461799540246616</v>
      </c>
      <c r="H32" s="20">
        <f t="shared" si="2"/>
        <v>0.50575397568175184</v>
      </c>
    </row>
    <row r="33" spans="1:8" x14ac:dyDescent="0.3">
      <c r="A33" s="5" t="s">
        <v>34</v>
      </c>
      <c r="B33" s="36">
        <f>Tables!F35</f>
        <v>127.95454545454547</v>
      </c>
      <c r="C33" s="36">
        <f>Tables!G35</f>
        <v>124.49180327868854</v>
      </c>
      <c r="D33" s="36">
        <f>Tables!H35</f>
        <v>98.571428571428584</v>
      </c>
      <c r="E33" s="36">
        <f>Tables!I35</f>
        <v>79.827586206896555</v>
      </c>
      <c r="F33" s="36">
        <f t="shared" si="0"/>
        <v>59.494120073208911</v>
      </c>
      <c r="G33" s="36">
        <f t="shared" si="1"/>
        <v>85.094030017813211</v>
      </c>
      <c r="H33" s="20">
        <f t="shared" si="2"/>
        <v>0.58852699868034986</v>
      </c>
    </row>
    <row r="34" spans="1:8" x14ac:dyDescent="0.3">
      <c r="A34" s="3" t="s">
        <v>35</v>
      </c>
      <c r="B34" s="36">
        <f>Tables!F36</f>
        <v>123.86363636363643</v>
      </c>
      <c r="C34" s="36">
        <f>Tables!G36</f>
        <v>126.26229508196721</v>
      </c>
      <c r="D34" s="36">
        <f>Tables!H36</f>
        <v>100</v>
      </c>
      <c r="E34" s="36">
        <f>Tables!I36</f>
        <v>74.65517241379311</v>
      </c>
      <c r="F34" s="36">
        <f t="shared" si="0"/>
        <v>63.36146571283637</v>
      </c>
      <c r="G34" s="36">
        <f t="shared" si="1"/>
        <v>83.596697305614583</v>
      </c>
      <c r="H34" s="20">
        <f t="shared" si="2"/>
        <v>0.56884691254012754</v>
      </c>
    </row>
    <row r="35" spans="1:8" x14ac:dyDescent="0.3">
      <c r="A35" s="5" t="s">
        <v>36</v>
      </c>
      <c r="B35" s="36">
        <f>Tables!F37</f>
        <v>130</v>
      </c>
      <c r="C35" s="36">
        <f>Tables!G37</f>
        <v>130</v>
      </c>
      <c r="D35" s="36">
        <f>Tables!H37</f>
        <v>100</v>
      </c>
      <c r="E35" s="36">
        <f>Tables!I37</f>
        <v>87.58620689655173</v>
      </c>
      <c r="F35" s="36">
        <f t="shared" si="0"/>
        <v>51.951225639267804</v>
      </c>
      <c r="G35" s="36">
        <f t="shared" si="1"/>
        <v>91.702097429711628</v>
      </c>
      <c r="H35" s="20">
        <f t="shared" si="2"/>
        <v>0.63835695179622209</v>
      </c>
    </row>
    <row r="36" spans="1:8" x14ac:dyDescent="0.3">
      <c r="A36" s="3" t="s">
        <v>37</v>
      </c>
      <c r="B36" s="36">
        <f>Tables!F38</f>
        <v>82.272727272727252</v>
      </c>
      <c r="C36" s="36">
        <f>Tables!G38</f>
        <v>95.967213114754102</v>
      </c>
      <c r="D36" s="36">
        <f>Tables!H38</f>
        <v>70</v>
      </c>
      <c r="E36" s="36">
        <f>Tables!I38</f>
        <v>80.862068965517238</v>
      </c>
      <c r="F36" s="36">
        <f t="shared" si="0"/>
        <v>97.214502063784806</v>
      </c>
      <c r="G36" s="36">
        <f t="shared" si="1"/>
        <v>30.706685491427653</v>
      </c>
      <c r="H36" s="20">
        <f t="shared" si="2"/>
        <v>0.24004378069250057</v>
      </c>
    </row>
    <row r="37" spans="1:8" x14ac:dyDescent="0.3">
      <c r="A37" s="5" t="s">
        <v>38</v>
      </c>
      <c r="B37" s="36">
        <f>Tables!F39</f>
        <v>107.50000000000001</v>
      </c>
      <c r="C37" s="36">
        <f>Tables!G39</f>
        <v>107.7704918032787</v>
      </c>
      <c r="D37" s="36">
        <f>Tables!H39</f>
        <v>84.285714285714292</v>
      </c>
      <c r="E37" s="36">
        <f>Tables!I39</f>
        <v>77.241379310344826</v>
      </c>
      <c r="F37" s="36">
        <f t="shared" si="0"/>
        <v>76.6398656712703</v>
      </c>
      <c r="G37" s="36">
        <f t="shared" si="1"/>
        <v>55.582184718045184</v>
      </c>
      <c r="H37" s="20">
        <f t="shared" si="2"/>
        <v>0.42037001055715467</v>
      </c>
    </row>
    <row r="38" spans="1:8" x14ac:dyDescent="0.3">
      <c r="A38" s="3" t="s">
        <v>39</v>
      </c>
      <c r="B38" s="36">
        <f>Tables!F40</f>
        <v>89.772727272727323</v>
      </c>
      <c r="C38" s="36">
        <f>Tables!G40</f>
        <v>91.049180327868854</v>
      </c>
      <c r="D38" s="36">
        <f>Tables!H40</f>
        <v>74.285714285714292</v>
      </c>
      <c r="E38" s="36">
        <f>Tables!I40</f>
        <v>79.310344827586206</v>
      </c>
      <c r="F38" s="36">
        <f t="shared" si="0"/>
        <v>93.855860756569342</v>
      </c>
      <c r="G38" s="36">
        <f t="shared" si="1"/>
        <v>30.644389437940067</v>
      </c>
      <c r="H38" s="20">
        <f t="shared" si="2"/>
        <v>0.24613917956039189</v>
      </c>
    </row>
    <row r="40" spans="1:8" ht="15.6" x14ac:dyDescent="0.3">
      <c r="A40" t="s">
        <v>77</v>
      </c>
      <c r="B40" s="36">
        <f>MAX(B4:B38)</f>
        <v>130</v>
      </c>
      <c r="C40" s="36">
        <f t="shared" ref="C40:E40" si="3">MAX(C4:C38)</f>
        <v>130</v>
      </c>
      <c r="D40" s="36">
        <f t="shared" si="3"/>
        <v>130</v>
      </c>
      <c r="E40" s="36">
        <f t="shared" si="3"/>
        <v>130</v>
      </c>
      <c r="F40" s="38" t="s">
        <v>79</v>
      </c>
      <c r="G40" t="s">
        <v>103</v>
      </c>
    </row>
    <row r="41" spans="1:8" ht="15.6" x14ac:dyDescent="0.3">
      <c r="A41" t="s">
        <v>78</v>
      </c>
      <c r="B41" s="36">
        <f>MIN(B4:B38)</f>
        <v>70</v>
      </c>
      <c r="C41" s="36">
        <f t="shared" ref="C41:E41" si="4">MIN(C4:C38)</f>
        <v>70</v>
      </c>
      <c r="D41" s="36">
        <f t="shared" si="4"/>
        <v>70</v>
      </c>
      <c r="E41" s="36">
        <f t="shared" si="4"/>
        <v>70</v>
      </c>
      <c r="F41" s="39" t="s">
        <v>80</v>
      </c>
      <c r="G4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6475-1BA8-4954-A0E4-912CA64C36B5}">
  <dimension ref="A3:D42"/>
  <sheetViews>
    <sheetView workbookViewId="0">
      <selection activeCell="H22" sqref="H22"/>
    </sheetView>
  </sheetViews>
  <sheetFormatPr defaultColWidth="11.5546875" defaultRowHeight="14.4" x14ac:dyDescent="0.3"/>
  <cols>
    <col min="4" max="4" width="10.33203125" customWidth="1"/>
  </cols>
  <sheetData>
    <row r="3" spans="1:4" x14ac:dyDescent="0.3">
      <c r="A3" s="63" t="s">
        <v>0</v>
      </c>
      <c r="B3" s="1" t="s">
        <v>44</v>
      </c>
      <c r="C3" s="1" t="s">
        <v>108</v>
      </c>
      <c r="D3" s="1" t="s">
        <v>107</v>
      </c>
    </row>
    <row r="4" spans="1:4" ht="41.4" x14ac:dyDescent="0.3">
      <c r="A4" s="62"/>
      <c r="B4" s="1" t="s">
        <v>2</v>
      </c>
      <c r="C4" s="1" t="s">
        <v>106</v>
      </c>
      <c r="D4" s="1" t="s">
        <v>105</v>
      </c>
    </row>
    <row r="5" spans="1:4" x14ac:dyDescent="0.3">
      <c r="A5" s="3" t="s">
        <v>5</v>
      </c>
      <c r="B5" s="11">
        <v>146</v>
      </c>
      <c r="C5" s="40">
        <f>(B$41-B5)+B$42</f>
        <v>387</v>
      </c>
      <c r="D5" s="44">
        <f>((C5-C$42)/(C$41-C$42))*60+70</f>
        <v>123.70491803278688</v>
      </c>
    </row>
    <row r="6" spans="1:4" x14ac:dyDescent="0.3">
      <c r="A6" s="5" t="s">
        <v>6</v>
      </c>
      <c r="B6" s="13">
        <v>175</v>
      </c>
      <c r="C6" s="40">
        <f t="shared" ref="C6:C39" si="0">(B$41-B6)+B$42</f>
        <v>358</v>
      </c>
      <c r="D6" s="44">
        <f t="shared" ref="D6:D39" si="1">((C6-C$42)/(C$41-C$42))*60+70</f>
        <v>118</v>
      </c>
    </row>
    <row r="7" spans="1:4" x14ac:dyDescent="0.3">
      <c r="A7" s="3" t="s">
        <v>7</v>
      </c>
      <c r="B7" s="11">
        <v>184</v>
      </c>
      <c r="C7" s="40">
        <f t="shared" si="0"/>
        <v>349</v>
      </c>
      <c r="D7" s="44">
        <f t="shared" si="1"/>
        <v>116.22950819672131</v>
      </c>
    </row>
    <row r="8" spans="1:4" x14ac:dyDescent="0.3">
      <c r="A8" s="5" t="s">
        <v>8</v>
      </c>
      <c r="B8" s="13">
        <v>184</v>
      </c>
      <c r="C8" s="40">
        <f t="shared" si="0"/>
        <v>349</v>
      </c>
      <c r="D8" s="44">
        <f t="shared" si="1"/>
        <v>116.22950819672131</v>
      </c>
    </row>
    <row r="9" spans="1:4" x14ac:dyDescent="0.3">
      <c r="A9" s="3" t="s">
        <v>9</v>
      </c>
      <c r="B9" s="11">
        <v>229</v>
      </c>
      <c r="C9" s="40">
        <f t="shared" si="0"/>
        <v>304</v>
      </c>
      <c r="D9" s="44">
        <f t="shared" si="1"/>
        <v>107.37704918032787</v>
      </c>
    </row>
    <row r="10" spans="1:4" x14ac:dyDescent="0.3">
      <c r="A10" s="5" t="s">
        <v>10</v>
      </c>
      <c r="B10" s="13">
        <v>419</v>
      </c>
      <c r="C10" s="40">
        <f t="shared" si="0"/>
        <v>114</v>
      </c>
      <c r="D10" s="44">
        <f t="shared" si="1"/>
        <v>70</v>
      </c>
    </row>
    <row r="11" spans="1:4" x14ac:dyDescent="0.3">
      <c r="A11" s="3" t="s">
        <v>11</v>
      </c>
      <c r="B11" s="11">
        <v>229</v>
      </c>
      <c r="C11" s="40">
        <f t="shared" si="0"/>
        <v>304</v>
      </c>
      <c r="D11" s="44">
        <f t="shared" si="1"/>
        <v>107.37704918032787</v>
      </c>
    </row>
    <row r="12" spans="1:4" x14ac:dyDescent="0.3">
      <c r="A12" s="5" t="s">
        <v>12</v>
      </c>
      <c r="B12" s="13">
        <v>175</v>
      </c>
      <c r="C12" s="40">
        <f t="shared" si="0"/>
        <v>358</v>
      </c>
      <c r="D12" s="44">
        <f t="shared" si="1"/>
        <v>118</v>
      </c>
    </row>
    <row r="13" spans="1:4" x14ac:dyDescent="0.3">
      <c r="A13" s="3" t="s">
        <v>13</v>
      </c>
      <c r="B13" s="11">
        <v>323</v>
      </c>
      <c r="C13" s="40">
        <f t="shared" si="0"/>
        <v>210</v>
      </c>
      <c r="D13" s="44">
        <f t="shared" si="1"/>
        <v>88.885245901639351</v>
      </c>
    </row>
    <row r="14" spans="1:4" x14ac:dyDescent="0.3">
      <c r="A14" s="5" t="s">
        <v>14</v>
      </c>
      <c r="B14" s="13">
        <v>191</v>
      </c>
      <c r="C14" s="40">
        <f t="shared" si="0"/>
        <v>342</v>
      </c>
      <c r="D14" s="44">
        <f t="shared" si="1"/>
        <v>114.85245901639345</v>
      </c>
    </row>
    <row r="15" spans="1:4" x14ac:dyDescent="0.3">
      <c r="A15" s="3" t="s">
        <v>15</v>
      </c>
      <c r="B15" s="11">
        <v>162</v>
      </c>
      <c r="C15" s="40">
        <f t="shared" si="0"/>
        <v>371</v>
      </c>
      <c r="D15" s="44">
        <f t="shared" si="1"/>
        <v>120.55737704918033</v>
      </c>
    </row>
    <row r="16" spans="1:4" x14ac:dyDescent="0.3">
      <c r="A16" s="5" t="s">
        <v>16</v>
      </c>
      <c r="B16" s="13">
        <v>195</v>
      </c>
      <c r="C16" s="40">
        <f t="shared" si="0"/>
        <v>338</v>
      </c>
      <c r="D16" s="44">
        <f t="shared" si="1"/>
        <v>114.0655737704918</v>
      </c>
    </row>
    <row r="17" spans="1:4" x14ac:dyDescent="0.3">
      <c r="A17" s="3" t="s">
        <v>17</v>
      </c>
      <c r="B17" s="11">
        <v>213</v>
      </c>
      <c r="C17" s="40">
        <f t="shared" si="0"/>
        <v>320</v>
      </c>
      <c r="D17" s="44">
        <f t="shared" si="1"/>
        <v>110.52459016393442</v>
      </c>
    </row>
    <row r="18" spans="1:4" x14ac:dyDescent="0.3">
      <c r="A18" s="5" t="s">
        <v>18</v>
      </c>
      <c r="B18" s="13">
        <v>390</v>
      </c>
      <c r="C18" s="40">
        <f t="shared" si="0"/>
        <v>143</v>
      </c>
      <c r="D18" s="44">
        <f t="shared" si="1"/>
        <v>75.704918032786878</v>
      </c>
    </row>
    <row r="19" spans="1:4" x14ac:dyDescent="0.3">
      <c r="A19" s="3" t="s">
        <v>19</v>
      </c>
      <c r="B19" s="11">
        <v>150</v>
      </c>
      <c r="C19" s="40">
        <f t="shared" si="0"/>
        <v>383</v>
      </c>
      <c r="D19" s="44">
        <f t="shared" si="1"/>
        <v>122.91803278688525</v>
      </c>
    </row>
    <row r="20" spans="1:4" x14ac:dyDescent="0.3">
      <c r="A20" s="5" t="s">
        <v>20</v>
      </c>
      <c r="B20" s="13">
        <v>166</v>
      </c>
      <c r="C20" s="40">
        <f t="shared" si="0"/>
        <v>367</v>
      </c>
      <c r="D20" s="44">
        <f t="shared" si="1"/>
        <v>119.77049180327869</v>
      </c>
    </row>
    <row r="21" spans="1:4" x14ac:dyDescent="0.3">
      <c r="A21" s="3" t="s">
        <v>21</v>
      </c>
      <c r="B21" s="11">
        <v>134</v>
      </c>
      <c r="C21" s="40">
        <f t="shared" si="0"/>
        <v>399</v>
      </c>
      <c r="D21" s="44">
        <f t="shared" si="1"/>
        <v>126.0655737704918</v>
      </c>
    </row>
    <row r="22" spans="1:4" x14ac:dyDescent="0.3">
      <c r="A22" s="5" t="s">
        <v>22</v>
      </c>
      <c r="B22" s="13">
        <v>145</v>
      </c>
      <c r="C22" s="40">
        <f t="shared" si="0"/>
        <v>388</v>
      </c>
      <c r="D22" s="44">
        <f t="shared" si="1"/>
        <v>123.90163934426229</v>
      </c>
    </row>
    <row r="23" spans="1:4" x14ac:dyDescent="0.3">
      <c r="A23" s="3" t="s">
        <v>23</v>
      </c>
      <c r="B23" s="11">
        <v>135</v>
      </c>
      <c r="C23" s="40">
        <f t="shared" si="0"/>
        <v>398</v>
      </c>
      <c r="D23" s="44">
        <f t="shared" si="1"/>
        <v>125.8688524590164</v>
      </c>
    </row>
    <row r="24" spans="1:4" x14ac:dyDescent="0.3">
      <c r="A24" s="5" t="s">
        <v>24</v>
      </c>
      <c r="B24" s="13">
        <v>151</v>
      </c>
      <c r="C24" s="40">
        <f t="shared" si="0"/>
        <v>382</v>
      </c>
      <c r="D24" s="44">
        <f t="shared" si="1"/>
        <v>122.72131147540983</v>
      </c>
    </row>
    <row r="25" spans="1:4" x14ac:dyDescent="0.3">
      <c r="A25" s="3" t="s">
        <v>25</v>
      </c>
      <c r="B25" s="11">
        <v>412</v>
      </c>
      <c r="C25" s="40">
        <f t="shared" si="0"/>
        <v>121</v>
      </c>
      <c r="D25" s="44">
        <f t="shared" si="1"/>
        <v>71.377049180327873</v>
      </c>
    </row>
    <row r="26" spans="1:4" x14ac:dyDescent="0.3">
      <c r="A26" s="5" t="s">
        <v>26</v>
      </c>
      <c r="B26" s="13">
        <v>356</v>
      </c>
      <c r="C26" s="40">
        <f t="shared" si="0"/>
        <v>177</v>
      </c>
      <c r="D26" s="44">
        <f t="shared" si="1"/>
        <v>82.393442622950815</v>
      </c>
    </row>
    <row r="27" spans="1:4" x14ac:dyDescent="0.3">
      <c r="A27" s="3" t="s">
        <v>27</v>
      </c>
      <c r="B27" s="11">
        <v>123</v>
      </c>
      <c r="C27" s="40">
        <f t="shared" si="0"/>
        <v>410</v>
      </c>
      <c r="D27" s="44">
        <f t="shared" si="1"/>
        <v>128.22950819672133</v>
      </c>
    </row>
    <row r="28" spans="1:4" x14ac:dyDescent="0.3">
      <c r="A28" s="5" t="s">
        <v>28</v>
      </c>
      <c r="B28" s="13">
        <v>418</v>
      </c>
      <c r="C28" s="40">
        <f t="shared" si="0"/>
        <v>115</v>
      </c>
      <c r="D28" s="44">
        <f t="shared" si="1"/>
        <v>70.196721311475414</v>
      </c>
    </row>
    <row r="29" spans="1:4" x14ac:dyDescent="0.3">
      <c r="A29" s="3" t="s">
        <v>29</v>
      </c>
      <c r="B29" s="11">
        <v>149</v>
      </c>
      <c r="C29" s="40">
        <f t="shared" si="0"/>
        <v>384</v>
      </c>
      <c r="D29" s="44">
        <f t="shared" si="1"/>
        <v>123.11475409836066</v>
      </c>
    </row>
    <row r="30" spans="1:4" x14ac:dyDescent="0.3">
      <c r="A30" s="5" t="s">
        <v>30</v>
      </c>
      <c r="B30" s="13">
        <v>316</v>
      </c>
      <c r="C30" s="40">
        <f t="shared" si="0"/>
        <v>217</v>
      </c>
      <c r="D30" s="44">
        <f t="shared" si="1"/>
        <v>90.26229508196721</v>
      </c>
    </row>
    <row r="31" spans="1:4" x14ac:dyDescent="0.3">
      <c r="A31" s="3" t="s">
        <v>31</v>
      </c>
      <c r="B31" s="11">
        <v>180</v>
      </c>
      <c r="C31" s="40">
        <f t="shared" si="0"/>
        <v>353</v>
      </c>
      <c r="D31" s="44">
        <f t="shared" si="1"/>
        <v>117.01639344262296</v>
      </c>
    </row>
    <row r="32" spans="1:4" x14ac:dyDescent="0.3">
      <c r="A32" s="5" t="s">
        <v>32</v>
      </c>
      <c r="B32" s="13">
        <v>297</v>
      </c>
      <c r="C32" s="40">
        <f t="shared" si="0"/>
        <v>236</v>
      </c>
      <c r="D32" s="44">
        <f t="shared" si="1"/>
        <v>94</v>
      </c>
    </row>
    <row r="33" spans="1:4" x14ac:dyDescent="0.3">
      <c r="A33" s="3" t="s">
        <v>33</v>
      </c>
      <c r="B33" s="11">
        <v>187</v>
      </c>
      <c r="C33" s="40">
        <f t="shared" si="0"/>
        <v>346</v>
      </c>
      <c r="D33" s="44">
        <f t="shared" si="1"/>
        <v>115.63934426229508</v>
      </c>
    </row>
    <row r="34" spans="1:4" x14ac:dyDescent="0.3">
      <c r="A34" s="5" t="s">
        <v>34</v>
      </c>
      <c r="B34" s="13">
        <v>142</v>
      </c>
      <c r="C34" s="40">
        <f t="shared" si="0"/>
        <v>391</v>
      </c>
      <c r="D34" s="44">
        <f t="shared" si="1"/>
        <v>124.49180327868854</v>
      </c>
    </row>
    <row r="35" spans="1:4" x14ac:dyDescent="0.3">
      <c r="A35" s="3" t="s">
        <v>35</v>
      </c>
      <c r="B35" s="11">
        <v>133</v>
      </c>
      <c r="C35" s="40">
        <f t="shared" si="0"/>
        <v>400</v>
      </c>
      <c r="D35" s="44">
        <f t="shared" si="1"/>
        <v>126.26229508196721</v>
      </c>
    </row>
    <row r="36" spans="1:4" x14ac:dyDescent="0.3">
      <c r="A36" s="5" t="s">
        <v>36</v>
      </c>
      <c r="B36" s="13">
        <v>114</v>
      </c>
      <c r="C36" s="40">
        <f t="shared" si="0"/>
        <v>419</v>
      </c>
      <c r="D36" s="44">
        <f t="shared" si="1"/>
        <v>130</v>
      </c>
    </row>
    <row r="37" spans="1:4" x14ac:dyDescent="0.3">
      <c r="A37" s="3" t="s">
        <v>37</v>
      </c>
      <c r="B37" s="11">
        <v>287</v>
      </c>
      <c r="C37" s="40">
        <f t="shared" si="0"/>
        <v>246</v>
      </c>
      <c r="D37" s="44">
        <f t="shared" si="1"/>
        <v>95.967213114754102</v>
      </c>
    </row>
    <row r="38" spans="1:4" x14ac:dyDescent="0.3">
      <c r="A38" s="5" t="s">
        <v>38</v>
      </c>
      <c r="B38" s="13">
        <v>227</v>
      </c>
      <c r="C38" s="40">
        <f t="shared" si="0"/>
        <v>306</v>
      </c>
      <c r="D38" s="44">
        <f t="shared" si="1"/>
        <v>107.7704918032787</v>
      </c>
    </row>
    <row r="39" spans="1:4" x14ac:dyDescent="0.3">
      <c r="A39" s="3" t="s">
        <v>39</v>
      </c>
      <c r="B39" s="11">
        <v>312</v>
      </c>
      <c r="C39" s="40">
        <f t="shared" si="0"/>
        <v>221</v>
      </c>
      <c r="D39" s="44">
        <f t="shared" si="1"/>
        <v>91.049180327868854</v>
      </c>
    </row>
    <row r="41" spans="1:4" x14ac:dyDescent="0.3">
      <c r="A41" s="32" t="s">
        <v>77</v>
      </c>
      <c r="B41" s="43">
        <f>MAX(B5:B39)</f>
        <v>419</v>
      </c>
      <c r="C41" s="43">
        <f>MAX(C5:C39)</f>
        <v>419</v>
      </c>
    </row>
    <row r="42" spans="1:4" x14ac:dyDescent="0.3">
      <c r="A42" s="32" t="s">
        <v>78</v>
      </c>
      <c r="B42" s="43">
        <f>MIN(B5:B39)</f>
        <v>114</v>
      </c>
      <c r="C42" s="43">
        <f>MIN(C5:C39)</f>
        <v>114</v>
      </c>
    </row>
  </sheetData>
  <mergeCells count="1">
    <mergeCell ref="A3: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TOPSIS</vt:lpstr>
      <vt:lpstr>z2(Rev)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A. Treviño C.</dc:creator>
  <cp:lastModifiedBy>Jesús A. Treviño C.</cp:lastModifiedBy>
  <dcterms:created xsi:type="dcterms:W3CDTF">2026-06-08T00:55:21Z</dcterms:created>
  <dcterms:modified xsi:type="dcterms:W3CDTF">2026-08-10T02:54:29Z</dcterms:modified>
</cp:coreProperties>
</file>